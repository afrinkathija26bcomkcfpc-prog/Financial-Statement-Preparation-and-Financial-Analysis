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Financial Statement Preparation and Financial Statement Analysis/"/>
    </mc:Choice>
  </mc:AlternateContent>
  <xr:revisionPtr revIDLastSave="15" documentId="8_{AE672366-EDC1-491C-B581-CA50A529DD3D}" xr6:coauthVersionLast="47" xr6:coauthVersionMax="47" xr10:uidLastSave="{21E50D7A-DA4F-449B-A28F-B666E72262C6}"/>
  <bookViews>
    <workbookView xWindow="-110" yWindow="-110" windowWidth="19420" windowHeight="10300" firstSheet="3" activeTab="7" xr2:uid="{D82F9E42-2EF1-4896-8417-4FF362453DE8}"/>
  </bookViews>
  <sheets>
    <sheet name="Problems" sheetId="1" r:id="rId1"/>
    <sheet name="Journal Entries" sheetId="2" r:id="rId2"/>
    <sheet name="Legders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8" l="1"/>
  <c r="B22" i="8"/>
  <c r="B17" i="8"/>
  <c r="B12" i="8"/>
  <c r="B7" i="8"/>
  <c r="F6" i="8"/>
  <c r="C12" i="7"/>
  <c r="F12" i="7"/>
  <c r="C31" i="4"/>
  <c r="D37" i="3"/>
  <c r="H35" i="3" s="1"/>
  <c r="F7" i="6"/>
  <c r="C13" i="6"/>
  <c r="C9" i="5"/>
  <c r="D31" i="4"/>
  <c r="H56" i="3"/>
  <c r="D46" i="3"/>
</calcChain>
</file>

<file path=xl/sharedStrings.xml><?xml version="1.0" encoding="utf-8"?>
<sst xmlns="http://schemas.openxmlformats.org/spreadsheetml/2006/main" count="865" uniqueCount="342">
  <si>
    <t>Date</t>
  </si>
  <si>
    <t>Particulars</t>
  </si>
  <si>
    <t>L.F</t>
  </si>
  <si>
    <t>Debit ₹</t>
  </si>
  <si>
    <t>Credit ₹</t>
  </si>
  <si>
    <t>Cash A/C</t>
  </si>
  <si>
    <t>Dr</t>
  </si>
  <si>
    <t xml:space="preserve">  To Capital A/C</t>
  </si>
  <si>
    <t>(Being Started business with cash)</t>
  </si>
  <si>
    <t>Bank A/C</t>
  </si>
  <si>
    <t xml:space="preserve">  To Cash A/C</t>
  </si>
  <si>
    <t>(Being cash deposited into cash)</t>
  </si>
  <si>
    <t>Purchased A/C</t>
  </si>
  <si>
    <t xml:space="preserve">  To Cash A/c</t>
  </si>
  <si>
    <t>(Being Purchased Goods for cash)</t>
  </si>
  <si>
    <t xml:space="preserve">  To Ravi A/C</t>
  </si>
  <si>
    <t>(Being Purchased Goods for credit)</t>
  </si>
  <si>
    <t xml:space="preserve">  To Sales A/C</t>
  </si>
  <si>
    <t>(Being Sales Goods for cash)</t>
  </si>
  <si>
    <t>Kumar A/C</t>
  </si>
  <si>
    <t>(Being Sales Goods for credit)</t>
  </si>
  <si>
    <t>Rent A/C</t>
  </si>
  <si>
    <t>(Being paid rent by cash)</t>
  </si>
  <si>
    <t>Salary A/C</t>
  </si>
  <si>
    <t>(Being paid salary by cash)</t>
  </si>
  <si>
    <t>Furniture A/C</t>
  </si>
  <si>
    <t>(Being Purchased furniture for cash)</t>
  </si>
  <si>
    <t>Electricity Charges A/C</t>
  </si>
  <si>
    <t>(Being paid electricity charges)</t>
  </si>
  <si>
    <t>(Being Received cash from kumar)</t>
  </si>
  <si>
    <t xml:space="preserve">Ravi A/C </t>
  </si>
  <si>
    <t xml:space="preserve">  To Bank A/C</t>
  </si>
  <si>
    <t xml:space="preserve">  To Kumar A/C</t>
  </si>
  <si>
    <t>(Being paid Ravi by Cheque)</t>
  </si>
  <si>
    <t>Stationery  A/C</t>
  </si>
  <si>
    <t>(Being Purchased stationery for cash)</t>
  </si>
  <si>
    <t>Travelling Expenses A/C</t>
  </si>
  <si>
    <t>(Being paid travelling expenses)</t>
  </si>
  <si>
    <t>(Being Received Commission)</t>
  </si>
  <si>
    <t>Drawing A/c</t>
  </si>
  <si>
    <t>(Being Withdrew casn for personal use)</t>
  </si>
  <si>
    <t xml:space="preserve">  To Suresh A/C</t>
  </si>
  <si>
    <t>(Being purchased goods on credit)</t>
  </si>
  <si>
    <t>Priya A/C</t>
  </si>
  <si>
    <t>(Being Sold goods on credit)</t>
  </si>
  <si>
    <t xml:space="preserve">  To Priya A/C</t>
  </si>
  <si>
    <t>(Being Received cash from priya)</t>
  </si>
  <si>
    <t>Carriage inward A/C</t>
  </si>
  <si>
    <t>(Being paid carriage inward)</t>
  </si>
  <si>
    <t>Suresh A/C</t>
  </si>
  <si>
    <t xml:space="preserve">  To Purchased return A/C</t>
  </si>
  <si>
    <t>(Being Returned goods to Suresh)</t>
  </si>
  <si>
    <t>Sales return A/C</t>
  </si>
  <si>
    <t>(Being Kumar returned goods)</t>
  </si>
  <si>
    <t xml:space="preserve">  To Interest received A/C</t>
  </si>
  <si>
    <t>(Being Received interest from bank)</t>
  </si>
  <si>
    <t>Telephone Charges A/C</t>
  </si>
  <si>
    <t>(Being paid telephone charges)</t>
  </si>
  <si>
    <t>Computer A/C</t>
  </si>
  <si>
    <t>(Being purchased computer for cash)</t>
  </si>
  <si>
    <t>Insurance Premium A/C</t>
  </si>
  <si>
    <t>(Being paid insurance premium)</t>
  </si>
  <si>
    <t>(Being Received cash sales)</t>
  </si>
  <si>
    <t>(Being paid wages)</t>
  </si>
  <si>
    <t>Advertisement Expenses A/C</t>
  </si>
  <si>
    <t>(Being paid advertisement expenses)</t>
  </si>
  <si>
    <t>(Being Deposited additional cash into bank)</t>
  </si>
  <si>
    <t>Wages A/C</t>
  </si>
  <si>
    <t xml:space="preserve">  To Commission received A/C</t>
  </si>
  <si>
    <t>Financial Statement Preparation and Financial Data Analysis</t>
  </si>
  <si>
    <t>(Skill Paper)</t>
  </si>
  <si>
    <t>From the following Transaction of ABC Traders as on 31.3.2025, Prepare Journal, Ledger, Trial Balance, final accounts and Ratio Analysis</t>
  </si>
  <si>
    <t>April 1      Started business with cash – ₹2,00,000.</t>
  </si>
  <si>
    <t>April 3      Deposited cash into bank – ₹1,00,000.</t>
  </si>
  <si>
    <t>April15     Purchased goods for cash – ₹20,000.</t>
  </si>
  <si>
    <t>April 25    Purchased goods from Ravi on credit – ₹15,000.</t>
  </si>
  <si>
    <t>May 2       Sold goods for cash – ₹25,000.</t>
  </si>
  <si>
    <t>May 10     Sold goods to Kumar on credit – ₹18,000.</t>
  </si>
  <si>
    <t>May 18     Paid rent by cash – ₹5,000.</t>
  </si>
  <si>
    <t>May 27     Paid salary by cash – ₹8,000.</t>
  </si>
  <si>
    <t>June15      Purchased furniture for cash – ₹12,000.</t>
  </si>
  <si>
    <t>June 24     Paid electricity charges – ₹2,000.</t>
  </si>
  <si>
    <t>June 30     Received cash from Kumar – ₹10,000.</t>
  </si>
  <si>
    <t>July 5        Paid Ravi by cheque – ₹12,000.</t>
  </si>
  <si>
    <t>July 15      Purchased stationery for cash – ₹1,500.</t>
  </si>
  <si>
    <t>July 25      Paid travelling expenses – ₹2,500.</t>
  </si>
  <si>
    <t>Aug 4        Received commission – ₹3,000.</t>
  </si>
  <si>
    <t>Aug 10      Withdrew cash for personal use – ₹5,000.</t>
  </si>
  <si>
    <t>Aug 20      Purchased goods from Suresh on credit – ₹10,000.</t>
  </si>
  <si>
    <t>Sep 3        Sold goods to Priya on credit – ₹14,000.</t>
  </si>
  <si>
    <t>Sep 10      Received cash from Priya – ₹8,000.</t>
  </si>
  <si>
    <t>Sep 28      Paid carriage inward – ₹1,200.</t>
  </si>
  <si>
    <t>Oct 10      Returned goods to Suresh – ₹1,000.</t>
  </si>
  <si>
    <t>Nov 4       Kumar returned goods – ₹2,000.</t>
  </si>
  <si>
    <t>Nov 18     Received interest from bank – ₹800.</t>
  </si>
  <si>
    <t>Dec 5       Paid telephone charges – ₹1,000.</t>
  </si>
  <si>
    <t>Dec15      Purchased computer for cash – ₹30,000.</t>
  </si>
  <si>
    <t>Jan 10      Paid insurance premium – ₹2,500.</t>
  </si>
  <si>
    <t>Jan 27      Received cash sales – ₹15,000.</t>
  </si>
  <si>
    <t>Feb 10     Paid wages – ₹4,000.</t>
  </si>
  <si>
    <t>Feb 25     Paid advertisement expenses – ₹3,000.</t>
  </si>
  <si>
    <t>Mar 18    Deposited additional cash into bank – ₹20,000.</t>
  </si>
  <si>
    <t>In the book of Ledger account of ABC Traders for the year ended 31st March 2026</t>
  </si>
  <si>
    <t>Capital Account</t>
  </si>
  <si>
    <t>In the book of Journal Entries of ABC Traders for the year ended 31st March 2025</t>
  </si>
  <si>
    <t>01.04.2024</t>
  </si>
  <si>
    <t>03.04.2024</t>
  </si>
  <si>
    <t>15.04.2024</t>
  </si>
  <si>
    <t>25.04.2024</t>
  </si>
  <si>
    <t>02.05.2024</t>
  </si>
  <si>
    <t>10.05.2024</t>
  </si>
  <si>
    <t>18.05.2024</t>
  </si>
  <si>
    <t>27.05.2024</t>
  </si>
  <si>
    <t>15.06.2024</t>
  </si>
  <si>
    <t>24.06.2024</t>
  </si>
  <si>
    <t>30.06.2024</t>
  </si>
  <si>
    <t>05.07.2024</t>
  </si>
  <si>
    <t>15.07.2024</t>
  </si>
  <si>
    <t>25.07.2024</t>
  </si>
  <si>
    <t>04.08.2024</t>
  </si>
  <si>
    <t>10.08.2024</t>
  </si>
  <si>
    <t>20.08.2024</t>
  </si>
  <si>
    <t>03.09.2024</t>
  </si>
  <si>
    <t>10.09.2024</t>
  </si>
  <si>
    <t>28.09.2024</t>
  </si>
  <si>
    <t>10.10.2024</t>
  </si>
  <si>
    <t>04.11.2024</t>
  </si>
  <si>
    <t>18.11.2024</t>
  </si>
  <si>
    <t>05.12.2024</t>
  </si>
  <si>
    <t>15.12.2024</t>
  </si>
  <si>
    <t>10.01.2025</t>
  </si>
  <si>
    <t>27.01.2025</t>
  </si>
  <si>
    <t>10.02.2025</t>
  </si>
  <si>
    <t>25.02.2025</t>
  </si>
  <si>
    <t>18.02.2025</t>
  </si>
  <si>
    <t>Amount ₹</t>
  </si>
  <si>
    <t>Particular</t>
  </si>
  <si>
    <t>J.F</t>
  </si>
  <si>
    <t>By cash A/C</t>
  </si>
  <si>
    <t>31.03.2025</t>
  </si>
  <si>
    <t>To Balance c/d</t>
  </si>
  <si>
    <t>By Balance b/d</t>
  </si>
  <si>
    <t>Cash Account</t>
  </si>
  <si>
    <t>To Capital A/C</t>
  </si>
  <si>
    <t>To Sales A/C</t>
  </si>
  <si>
    <t>By Bank A/C</t>
  </si>
  <si>
    <t>By Purchased A/C</t>
  </si>
  <si>
    <t>By Rent A/C</t>
  </si>
  <si>
    <t>By Salary A/C</t>
  </si>
  <si>
    <t>To Kumar A/C</t>
  </si>
  <si>
    <t>By Furniture A/C</t>
  </si>
  <si>
    <t>By Stationery A/C</t>
  </si>
  <si>
    <t>By Drawing A/C</t>
  </si>
  <si>
    <t>To Priya A/C</t>
  </si>
  <si>
    <t>By Computer A/C</t>
  </si>
  <si>
    <t>01.04.2025</t>
  </si>
  <si>
    <t>By Balance c/d</t>
  </si>
  <si>
    <t>To Balance b/d</t>
  </si>
  <si>
    <t>Bank Account</t>
  </si>
  <si>
    <t>To Cash A/C</t>
  </si>
  <si>
    <t>By Electricity Charges A/C</t>
  </si>
  <si>
    <t>By Ravi A/C</t>
  </si>
  <si>
    <t>By Travelling Expenses A/C</t>
  </si>
  <si>
    <t>By Carriage inward A/C</t>
  </si>
  <si>
    <t>To Interest received A/C</t>
  </si>
  <si>
    <t>By Insurance Premium A/C</t>
  </si>
  <si>
    <t>By Wages A/C</t>
  </si>
  <si>
    <t>By Advertisement Expenses A/C</t>
  </si>
  <si>
    <t>Purchased Account</t>
  </si>
  <si>
    <t>By Cash A/C</t>
  </si>
  <si>
    <t>By Suresh A/C</t>
  </si>
  <si>
    <t>To Ravi A/C</t>
  </si>
  <si>
    <t>To Suresh A/C</t>
  </si>
  <si>
    <t>Sales Account</t>
  </si>
  <si>
    <t>By Kumar A/C</t>
  </si>
  <si>
    <t>By Priya A/C</t>
  </si>
  <si>
    <t>Purchased Return Account</t>
  </si>
  <si>
    <t>Sales Return Account</t>
  </si>
  <si>
    <t>Ravi Account</t>
  </si>
  <si>
    <t>To Bank A/C</t>
  </si>
  <si>
    <t>Kumar Account</t>
  </si>
  <si>
    <t>Salary Account</t>
  </si>
  <si>
    <t>Furniture Account</t>
  </si>
  <si>
    <t>Electricity Charges Account</t>
  </si>
  <si>
    <t>Stationery A/c</t>
  </si>
  <si>
    <t>Travelling Expenses</t>
  </si>
  <si>
    <t>Commision Received</t>
  </si>
  <si>
    <t>Drawing A/C</t>
  </si>
  <si>
    <t xml:space="preserve">SureshAccount </t>
  </si>
  <si>
    <t>To Purchased return A/C</t>
  </si>
  <si>
    <t>Priya Account</t>
  </si>
  <si>
    <t>Carriage Inward A/C</t>
  </si>
  <si>
    <t>Interest Received Account</t>
  </si>
  <si>
    <t>Telephone Charges Account</t>
  </si>
  <si>
    <t>Computer Account</t>
  </si>
  <si>
    <t>Wages Account</t>
  </si>
  <si>
    <t>to Balance b/d</t>
  </si>
  <si>
    <t>Advertisement Account</t>
  </si>
  <si>
    <t>By Sales Return A/C</t>
  </si>
  <si>
    <t>Rent Account</t>
  </si>
  <si>
    <t>Trial Balance as on 31st March 2025</t>
  </si>
  <si>
    <t>Cash A/c</t>
  </si>
  <si>
    <t>Bank A/c</t>
  </si>
  <si>
    <t>Purchases A/c</t>
  </si>
  <si>
    <t>Sales A/c</t>
  </si>
  <si>
    <t>Capital A/c</t>
  </si>
  <si>
    <t>Furniture A/c</t>
  </si>
  <si>
    <t>Computer A/c</t>
  </si>
  <si>
    <t>Rent A/c</t>
  </si>
  <si>
    <t>Salary A/c</t>
  </si>
  <si>
    <t>Electricity Charges A/c</t>
  </si>
  <si>
    <t>Travelling Expenses A/c</t>
  </si>
  <si>
    <t>Commission Received A/c</t>
  </si>
  <si>
    <t>Drawings A/c</t>
  </si>
  <si>
    <t>Carriage Inward A/c</t>
  </si>
  <si>
    <t>Purchase Returns A/c</t>
  </si>
  <si>
    <t>Sales Returns A/c</t>
  </si>
  <si>
    <t>Interest Received A/c</t>
  </si>
  <si>
    <t>Telephone Charges A/c</t>
  </si>
  <si>
    <t>Insurance Premium A/c</t>
  </si>
  <si>
    <t>Wages A/c</t>
  </si>
  <si>
    <t>Advertisement Expenses A/c</t>
  </si>
  <si>
    <t>Total</t>
  </si>
  <si>
    <t xml:space="preserve">                   -                 </t>
  </si>
  <si>
    <t xml:space="preserve">       -</t>
  </si>
  <si>
    <t>SI.NO</t>
  </si>
  <si>
    <t>Ravi A/c (Creditor)</t>
  </si>
  <si>
    <t>Kumar A/c (Debtor)</t>
  </si>
  <si>
    <t>Priya A/c (Debtor)</t>
  </si>
  <si>
    <t>Suresh A/c (Creditor)</t>
  </si>
  <si>
    <t>Trading Account for the year ended 31st March 2025</t>
  </si>
  <si>
    <t>To Opening Stock A/C</t>
  </si>
  <si>
    <t>To Purchased A/C</t>
  </si>
  <si>
    <t xml:space="preserve">        -  </t>
  </si>
  <si>
    <t>To Carriage Inward A/C</t>
  </si>
  <si>
    <t>To Wages A/C</t>
  </si>
  <si>
    <t>By Sales A/C</t>
  </si>
  <si>
    <t>By Closing Stock A/C</t>
  </si>
  <si>
    <t xml:space="preserve">        -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</si>
  <si>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Purchased Return A/C</t>
    </r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</si>
  <si>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Sales Return A/C</t>
    </r>
  </si>
  <si>
    <t>To Gross Profit A/C</t>
  </si>
  <si>
    <t xml:space="preserve">    -</t>
  </si>
  <si>
    <t>Profit &amp; Loss Account for the year ended 31st March 2025</t>
  </si>
  <si>
    <t>To Rent A/C</t>
  </si>
  <si>
    <t>To Salary A/C</t>
  </si>
  <si>
    <t>To Electricity Charges A/C</t>
  </si>
  <si>
    <t>To Stationery A/C</t>
  </si>
  <si>
    <t>To Travelling Expenses A/C</t>
  </si>
  <si>
    <t>By Commission Received A/C</t>
  </si>
  <si>
    <t>By Interest Received A/C</t>
  </si>
  <si>
    <t>To Telephone Charges A/C</t>
  </si>
  <si>
    <t>To Insurance Premium A/C</t>
  </si>
  <si>
    <t>To Advertisement Expenses A/C</t>
  </si>
  <si>
    <t>By Gross Profit A/C</t>
  </si>
  <si>
    <t>By Net Loss transfed to capital A/C</t>
  </si>
  <si>
    <t>By Telephone Charges A/C</t>
  </si>
  <si>
    <t>To Commission Received A/C</t>
  </si>
  <si>
    <t>By  Bank A/C</t>
  </si>
  <si>
    <t>Capital</t>
  </si>
  <si>
    <t>Sundry Creditors</t>
  </si>
  <si>
    <t xml:space="preserve">Ravi </t>
  </si>
  <si>
    <t xml:space="preserve">Suresh </t>
  </si>
  <si>
    <t>Computer</t>
  </si>
  <si>
    <t>Furniture</t>
  </si>
  <si>
    <t xml:space="preserve">Priya </t>
  </si>
  <si>
    <t>Kumar</t>
  </si>
  <si>
    <t>Cash in hand</t>
  </si>
  <si>
    <t>Cash at bank</t>
  </si>
  <si>
    <t>Balance Sheet as on 31st March 2025</t>
  </si>
  <si>
    <t>Liabilites</t>
  </si>
  <si>
    <t>Assets</t>
  </si>
  <si>
    <t>Sundry Debtors</t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</si>
  <si>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Net loss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</si>
  <si>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Drawings</t>
    </r>
  </si>
  <si>
    <t>Dr.                                                                                                                                                           Cr.</t>
  </si>
  <si>
    <t>Dr.                                                                                                                                                                                             Cr.</t>
  </si>
  <si>
    <t>Dr.                                                                                                                                                                                                 Cr.</t>
  </si>
  <si>
    <t>Ratio Analysis</t>
  </si>
  <si>
    <t>(Complete Ratio Analysis whichever is applicable)</t>
  </si>
  <si>
    <t>1.  Current Ratio</t>
  </si>
  <si>
    <t>Current Assests / Current Liabilities</t>
  </si>
  <si>
    <t>Interpretation of results</t>
  </si>
  <si>
    <t>Current Assets</t>
  </si>
  <si>
    <t>Current Ratio</t>
  </si>
  <si>
    <t>2.  Quick Ratio</t>
  </si>
  <si>
    <t>(Current Assets - Inventory - Prepaid Expenses) / Current Liabilites</t>
  </si>
  <si>
    <t>Quick Ratio</t>
  </si>
  <si>
    <t>Total Debt / Shareholders' Equity</t>
  </si>
  <si>
    <t>Total Debt</t>
  </si>
  <si>
    <t>Debt-to-Equity Ratio</t>
  </si>
  <si>
    <t>Shareholders' Equity</t>
  </si>
  <si>
    <t>Quick Assets</t>
  </si>
  <si>
    <t>Current Liabilities</t>
  </si>
  <si>
    <t>Current Assests</t>
  </si>
  <si>
    <t>Cash</t>
  </si>
  <si>
    <t>Bank</t>
  </si>
  <si>
    <r>
      <t xml:space="preserve">Ideal ratio is </t>
    </r>
    <r>
      <rPr>
        <b/>
        <sz val="14"/>
        <color theme="1"/>
        <rFont val="Times New Roman"/>
        <family val="1"/>
      </rPr>
      <t>2:1</t>
    </r>
  </si>
  <si>
    <t>The firm has ₹13.68 of current assets for every ₹ of Current Liabilities.</t>
  </si>
  <si>
    <t xml:space="preserve">3.  Cash Ratio </t>
  </si>
  <si>
    <t>Cash and Cash Equivalents</t>
  </si>
  <si>
    <t>Cash Ratio</t>
  </si>
  <si>
    <t>(Cash + Cash Equivalents) / Current Liabilities</t>
  </si>
  <si>
    <t>4.  Debt-to-Equity Ratio</t>
  </si>
  <si>
    <t>5.  Debt-to-Asset Ratio</t>
  </si>
  <si>
    <t>Total Debt / Total Assets</t>
  </si>
  <si>
    <t>Total Assest</t>
  </si>
  <si>
    <t>6.  Assest Turnover Ratio</t>
  </si>
  <si>
    <r>
      <t xml:space="preserve">Ideal ratio is </t>
    </r>
    <r>
      <rPr>
        <b/>
        <sz val="14"/>
        <color theme="1"/>
        <rFont val="Times New Roman"/>
        <family val="1"/>
      </rPr>
      <t>1:1</t>
    </r>
  </si>
  <si>
    <t>Frim Indicates good short-term solvency.</t>
  </si>
  <si>
    <t>Frim can repay current liabilities a very strong immediate liquidity position</t>
  </si>
  <si>
    <r>
      <t xml:space="preserve">Ideal ratio is </t>
    </r>
    <r>
      <rPr>
        <b/>
        <sz val="14"/>
        <color theme="1"/>
        <rFont val="Times New Roman"/>
        <family val="1"/>
      </rPr>
      <t>0.5:1</t>
    </r>
  </si>
  <si>
    <t>The Company has ₹ 12.68 of cash and bank balance fo revery ₹1 of current liabilities.</t>
  </si>
  <si>
    <t>Indicates a very strong immediate liquidity position.</t>
  </si>
  <si>
    <t>The firm has ₹13.68 of Liquid assets for every ₹ 1 of Current Liabilities.</t>
  </si>
  <si>
    <t>Ideal ratio is &lt;0.1</t>
  </si>
  <si>
    <t>The firm has ₹ 0.062 of debt for every ₹ 1 of equity.</t>
  </si>
  <si>
    <t>Indicates own financial risk and strong solvency position.</t>
  </si>
  <si>
    <t>Ideal ratio is &lt; 50 %</t>
  </si>
  <si>
    <t>The firm has ₹ 0.058 of debt for every ₹ 1 invested in total assets.</t>
  </si>
  <si>
    <t>It indicating that assets are not being used efficiently to generate sales.</t>
  </si>
  <si>
    <t>The firm finances 5.8% of its assets through debt.</t>
  </si>
  <si>
    <t>Net Sales / Total Assets</t>
  </si>
  <si>
    <t>Net Sales</t>
  </si>
  <si>
    <t>Total Asssets</t>
  </si>
  <si>
    <t>Assest Turnover Ratio</t>
  </si>
  <si>
    <t>Ideal ratio is &gt; 2 times</t>
  </si>
  <si>
    <t>7.  Inventory Turnover Ratio</t>
  </si>
  <si>
    <t>Cost of goods sold / Average Inventory</t>
  </si>
  <si>
    <t>Cost of good sold</t>
  </si>
  <si>
    <t>Average inventory</t>
  </si>
  <si>
    <t>Debt-to-Assests Ratio</t>
  </si>
  <si>
    <t>The firm generates only ₹ 0.34 of sales for every ₹ 1 invested in total assests.</t>
  </si>
  <si>
    <t>Inventory Turnover Ratio</t>
  </si>
  <si>
    <t>8.  Working Capital Turnover Ratio</t>
  </si>
  <si>
    <t>Net Sales / Working Capital</t>
  </si>
  <si>
    <t>Working Capital</t>
  </si>
  <si>
    <t>Working Capital turnover Ratio</t>
  </si>
  <si>
    <t>Ideal Ratio is 2-4 Times.</t>
  </si>
  <si>
    <t>The Working Capital Turnover Ratio of 0.47 times is below the ideal range of 2-4 times</t>
  </si>
  <si>
    <t>The business is not using its working capital efficiently to generate sales.</t>
  </si>
  <si>
    <r>
      <t xml:space="preserve">If Ratio is Very Low </t>
    </r>
    <r>
      <rPr>
        <sz val="14"/>
        <color theme="1"/>
        <rFont val="Calibri"/>
        <family val="2"/>
      </rPr>
      <t>→ Poor utilization of assets.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</si>
</sst>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 tint="4.9989318521683403E-2"/>
      <name val="Times New Roman"/>
      <family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2" fillId="0" borderId="0" xfId="0" applyFont="1" applyAlignment="1">
      <alignment horizontal="center"/>
    </xf>
    <xf numFmtId="3" fontId="2" fillId="0" borderId="1" xfId="0" applyNumberFormat="1" applyFont="1" applyBorder="1"/>
    <xf numFmtId="3" fontId="1" fillId="0" borderId="0" xfId="0" applyNumberFormat="1" applyFont="1"/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3" fontId="1" fillId="0" borderId="8" xfId="0" applyNumberFormat="1" applyFont="1" applyBorder="1" applyAlignment="1">
      <alignment vertical="center" wrapText="1"/>
    </xf>
    <xf numFmtId="0" fontId="1" fillId="0" borderId="7" xfId="0" applyFont="1" applyBorder="1"/>
    <xf numFmtId="0" fontId="1" fillId="0" borderId="8" xfId="0" applyFont="1" applyBorder="1"/>
    <xf numFmtId="3" fontId="1" fillId="0" borderId="3" xfId="0" applyNumberFormat="1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2" fillId="0" borderId="16" xfId="0" applyNumberFormat="1" applyFont="1" applyBorder="1"/>
    <xf numFmtId="3" fontId="2" fillId="0" borderId="17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2" fillId="0" borderId="8" xfId="0" applyNumberFormat="1" applyFont="1" applyBorder="1"/>
    <xf numFmtId="3" fontId="1" fillId="0" borderId="11" xfId="0" applyNumberFormat="1" applyFont="1" applyBorder="1"/>
    <xf numFmtId="0" fontId="1" fillId="0" borderId="4" xfId="0" applyFont="1" applyBorder="1"/>
    <xf numFmtId="0" fontId="1" fillId="0" borderId="5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0" fontId="1" fillId="0" borderId="6" xfId="0" applyFont="1" applyBorder="1"/>
    <xf numFmtId="0" fontId="2" fillId="0" borderId="8" xfId="0" applyFont="1" applyBorder="1"/>
    <xf numFmtId="0" fontId="1" fillId="0" borderId="18" xfId="0" applyFont="1" applyBorder="1"/>
    <xf numFmtId="0" fontId="1" fillId="0" borderId="19" xfId="0" applyFont="1" applyBorder="1"/>
    <xf numFmtId="3" fontId="1" fillId="0" borderId="16" xfId="0" applyNumberFormat="1" applyFont="1" applyBorder="1"/>
    <xf numFmtId="0" fontId="1" fillId="0" borderId="21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2" xfId="0" applyFont="1" applyBorder="1"/>
    <xf numFmtId="0" fontId="2" fillId="0" borderId="23" xfId="0" applyFont="1" applyBorder="1"/>
    <xf numFmtId="0" fontId="2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/>
    <xf numFmtId="0" fontId="1" fillId="0" borderId="3" xfId="0" applyFont="1" applyBorder="1"/>
    <xf numFmtId="0" fontId="1" fillId="0" borderId="25" xfId="0" applyFont="1" applyBorder="1"/>
    <xf numFmtId="3" fontId="1" fillId="0" borderId="3" xfId="0" applyNumberFormat="1" applyFont="1" applyBorder="1"/>
    <xf numFmtId="0" fontId="1" fillId="0" borderId="12" xfId="0" applyFont="1" applyBorder="1"/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1" fillId="0" borderId="12" xfId="0" applyNumberFormat="1" applyFont="1" applyBorder="1" applyAlignment="1">
      <alignment horizontal="right"/>
    </xf>
    <xf numFmtId="3" fontId="1" fillId="0" borderId="2" xfId="0" applyNumberFormat="1" applyFont="1" applyBorder="1"/>
    <xf numFmtId="3" fontId="1" fillId="0" borderId="12" xfId="0" applyNumberFormat="1" applyFont="1" applyBorder="1"/>
    <xf numFmtId="0" fontId="2" fillId="0" borderId="0" xfId="0" applyFont="1"/>
    <xf numFmtId="0" fontId="1" fillId="0" borderId="2" xfId="0" applyFont="1" applyBorder="1"/>
    <xf numFmtId="3" fontId="1" fillId="0" borderId="28" xfId="0" applyNumberFormat="1" applyFont="1" applyBorder="1"/>
    <xf numFmtId="3" fontId="2" fillId="0" borderId="0" xfId="0" applyNumberFormat="1" applyFont="1"/>
    <xf numFmtId="0" fontId="1" fillId="3" borderId="2" xfId="0" applyFont="1" applyFill="1" applyBorder="1"/>
    <xf numFmtId="0" fontId="1" fillId="3" borderId="26" xfId="0" applyFont="1" applyFill="1" applyBorder="1"/>
    <xf numFmtId="0" fontId="1" fillId="3" borderId="27" xfId="0" applyFont="1" applyFill="1" applyBorder="1"/>
    <xf numFmtId="0" fontId="1" fillId="3" borderId="27" xfId="0" applyFont="1" applyFill="1" applyBorder="1" applyAlignment="1">
      <alignment horizontal="right"/>
    </xf>
    <xf numFmtId="3" fontId="1" fillId="3" borderId="26" xfId="0" applyNumberFormat="1" applyFont="1" applyFill="1" applyBorder="1"/>
    <xf numFmtId="0" fontId="1" fillId="3" borderId="3" xfId="0" applyFont="1" applyFill="1" applyBorder="1" applyAlignment="1">
      <alignment horizontal="right"/>
    </xf>
    <xf numFmtId="2" fontId="2" fillId="3" borderId="21" xfId="0" applyNumberFormat="1" applyFont="1" applyFill="1" applyBorder="1"/>
    <xf numFmtId="0" fontId="1" fillId="3" borderId="3" xfId="0" applyFont="1" applyFill="1" applyBorder="1"/>
    <xf numFmtId="0" fontId="2" fillId="3" borderId="0" xfId="0" applyFont="1" applyFill="1" applyAlignment="1">
      <alignment horizontal="left"/>
    </xf>
    <xf numFmtId="2" fontId="2" fillId="3" borderId="29" xfId="0" applyNumberFormat="1" applyFont="1" applyFill="1" applyBorder="1"/>
    <xf numFmtId="0" fontId="1" fillId="3" borderId="26" xfId="0" applyFont="1" applyFill="1" applyBorder="1" applyAlignment="1">
      <alignment horizontal="right"/>
    </xf>
    <xf numFmtId="2" fontId="1" fillId="3" borderId="27" xfId="0" applyNumberFormat="1" applyFont="1" applyFill="1" applyBorder="1"/>
    <xf numFmtId="0" fontId="1" fillId="3" borderId="21" xfId="0" applyFont="1" applyFill="1" applyBorder="1" applyAlignment="1">
      <alignment horizontal="right"/>
    </xf>
    <xf numFmtId="164" fontId="2" fillId="3" borderId="3" xfId="0" applyNumberFormat="1" applyFont="1" applyFill="1" applyBorder="1"/>
    <xf numFmtId="0" fontId="2" fillId="3" borderId="21" xfId="0" applyFont="1" applyFill="1" applyBorder="1"/>
    <xf numFmtId="164" fontId="2" fillId="3" borderId="21" xfId="0" applyNumberFormat="1" applyFont="1" applyFill="1" applyBorder="1"/>
    <xf numFmtId="0" fontId="1" fillId="3" borderId="21" xfId="0" applyFont="1" applyFill="1" applyBorder="1"/>
    <xf numFmtId="2" fontId="2" fillId="3" borderId="26" xfId="0" applyNumberFormat="1" applyFont="1" applyFill="1" applyBorder="1"/>
    <xf numFmtId="0" fontId="2" fillId="2" borderId="1" xfId="0" applyFont="1" applyFill="1" applyBorder="1"/>
    <xf numFmtId="0" fontId="2" fillId="2" borderId="19" xfId="0" applyFont="1" applyFill="1" applyBorder="1"/>
    <xf numFmtId="0" fontId="2" fillId="4" borderId="0" xfId="0" applyFont="1" applyFill="1" applyAlignment="1">
      <alignment horizontal="center"/>
    </xf>
    <xf numFmtId="0" fontId="1" fillId="4" borderId="0" xfId="0" applyFont="1" applyFill="1"/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3" xfId="0" applyFont="1" applyFill="1" applyBorder="1"/>
    <xf numFmtId="0" fontId="2" fillId="2" borderId="21" xfId="0" applyFont="1" applyFill="1" applyBorder="1"/>
    <xf numFmtId="0" fontId="2" fillId="2" borderId="29" xfId="0" applyFont="1" applyFill="1" applyBorder="1"/>
    <xf numFmtId="0" fontId="2" fillId="2" borderId="26" xfId="0" applyFont="1" applyFill="1" applyBorder="1"/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4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3B27-B315-47D5-8A08-06B45716F7A3}">
  <dimension ref="A1:S43"/>
  <sheetViews>
    <sheetView workbookViewId="0">
      <selection activeCell="A20" sqref="A20"/>
    </sheetView>
  </sheetViews>
  <sheetFormatPr defaultRowHeight="14.5" x14ac:dyDescent="0.35"/>
  <cols>
    <col min="1" max="1" width="154.6328125" customWidth="1"/>
  </cols>
  <sheetData>
    <row r="1" spans="1:19" ht="18" x14ac:dyDescent="0.4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"/>
      <c r="S1" s="1"/>
    </row>
    <row r="2" spans="1:19" ht="18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35">
      <c r="A3" s="4" t="s">
        <v>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8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7.5" x14ac:dyDescent="0.35">
      <c r="A5" s="4" t="s">
        <v>71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7.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8" x14ac:dyDescent="0.4">
      <c r="A7" s="1" t="s">
        <v>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1" t="s">
        <v>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1" t="s">
        <v>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1" t="s">
        <v>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1" t="s">
        <v>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1" t="s">
        <v>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1" t="s">
        <v>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1" t="s">
        <v>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1" t="s">
        <v>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1" t="s">
        <v>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1" t="s">
        <v>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1" t="s">
        <v>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1" t="s">
        <v>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1" t="s">
        <v>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1" t="s">
        <v>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1" t="s">
        <v>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1" t="s">
        <v>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1" t="s">
        <v>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1" t="s">
        <v>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" t="s">
        <v>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" t="s">
        <v>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" t="s">
        <v>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" t="s">
        <v>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" t="s">
        <v>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" t="s">
        <v>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" t="s">
        <v>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" t="s">
        <v>98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1" t="s">
        <v>99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" t="s">
        <v>100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" t="s">
        <v>101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0686-00EC-4A07-9680-12C9B07B211C}">
  <dimension ref="A1:T135"/>
  <sheetViews>
    <sheetView zoomScale="122" workbookViewId="0">
      <selection activeCell="K76" sqref="K76"/>
    </sheetView>
  </sheetViews>
  <sheetFormatPr defaultRowHeight="14.5" x14ac:dyDescent="0.35"/>
  <cols>
    <col min="1" max="1" width="13" customWidth="1"/>
    <col min="2" max="2" width="45.81640625" customWidth="1"/>
    <col min="3" max="3" width="4.08984375" customWidth="1"/>
    <col min="5" max="5" width="11.81640625" customWidth="1"/>
    <col min="6" max="6" width="13.36328125" customWidth="1"/>
  </cols>
  <sheetData>
    <row r="1" spans="1:20" ht="18" x14ac:dyDescent="0.4">
      <c r="A1" s="91" t="s">
        <v>104</v>
      </c>
      <c r="B1" s="91"/>
      <c r="C1" s="91"/>
      <c r="D1" s="91"/>
      <c r="E1" s="91"/>
      <c r="F1" s="9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8.5" thickBot="1" x14ac:dyDescent="0.45">
      <c r="A3" s="24" t="s">
        <v>0</v>
      </c>
      <c r="B3" s="25" t="s">
        <v>1</v>
      </c>
      <c r="C3" s="25"/>
      <c r="D3" s="25" t="s">
        <v>2</v>
      </c>
      <c r="E3" s="25" t="s">
        <v>3</v>
      </c>
      <c r="F3" s="26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x14ac:dyDescent="0.4">
      <c r="A4" s="29" t="s">
        <v>105</v>
      </c>
      <c r="B4" s="30" t="s">
        <v>5</v>
      </c>
      <c r="C4" s="30" t="s">
        <v>6</v>
      </c>
      <c r="D4" s="30"/>
      <c r="E4" s="31">
        <v>200000</v>
      </c>
      <c r="F4" s="3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8" x14ac:dyDescent="0.4">
      <c r="A5" s="12"/>
      <c r="B5" s="2" t="s">
        <v>7</v>
      </c>
      <c r="C5" s="2"/>
      <c r="D5" s="2"/>
      <c r="E5" s="2"/>
      <c r="F5" s="33">
        <v>200000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x14ac:dyDescent="0.4">
      <c r="A6" s="12"/>
      <c r="B6" s="2" t="s">
        <v>8</v>
      </c>
      <c r="C6" s="2"/>
      <c r="D6" s="2"/>
      <c r="E6" s="2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x14ac:dyDescent="0.4">
      <c r="A7" s="12" t="s">
        <v>106</v>
      </c>
      <c r="B7" s="2" t="s">
        <v>9</v>
      </c>
      <c r="C7" s="2" t="s">
        <v>6</v>
      </c>
      <c r="D7" s="2"/>
      <c r="E7" s="3">
        <v>100000</v>
      </c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x14ac:dyDescent="0.4">
      <c r="A8" s="12"/>
      <c r="B8" s="2" t="s">
        <v>10</v>
      </c>
      <c r="C8" s="2"/>
      <c r="D8" s="2"/>
      <c r="E8" s="2"/>
      <c r="F8" s="33">
        <v>100000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8" x14ac:dyDescent="0.4">
      <c r="A9" s="12"/>
      <c r="B9" s="2" t="s">
        <v>11</v>
      </c>
      <c r="C9" s="2"/>
      <c r="D9" s="2"/>
      <c r="E9" s="2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x14ac:dyDescent="0.4">
      <c r="A10" s="12" t="s">
        <v>107</v>
      </c>
      <c r="B10" s="2" t="s">
        <v>12</v>
      </c>
      <c r="C10" s="2" t="s">
        <v>6</v>
      </c>
      <c r="D10" s="2"/>
      <c r="E10" s="3">
        <v>20000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8" x14ac:dyDescent="0.4">
      <c r="A11" s="12"/>
      <c r="B11" s="2" t="s">
        <v>13</v>
      </c>
      <c r="C11" s="2"/>
      <c r="D11" s="2"/>
      <c r="E11" s="2"/>
      <c r="F11" s="33">
        <v>20000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x14ac:dyDescent="0.4">
      <c r="A12" s="12"/>
      <c r="B12" s="2" t="s">
        <v>14</v>
      </c>
      <c r="C12" s="2"/>
      <c r="D12" s="2"/>
      <c r="E12" s="2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8" x14ac:dyDescent="0.4">
      <c r="A13" s="12" t="s">
        <v>108</v>
      </c>
      <c r="B13" s="2" t="s">
        <v>12</v>
      </c>
      <c r="C13" s="2" t="s">
        <v>6</v>
      </c>
      <c r="D13" s="2"/>
      <c r="E13" s="3">
        <v>15000</v>
      </c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8" x14ac:dyDescent="0.4">
      <c r="A14" s="12"/>
      <c r="B14" s="2" t="s">
        <v>15</v>
      </c>
      <c r="C14" s="2"/>
      <c r="D14" s="2"/>
      <c r="E14" s="2"/>
      <c r="F14" s="33">
        <v>15000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8" x14ac:dyDescent="0.4">
      <c r="A15" s="12"/>
      <c r="B15" s="2" t="s">
        <v>16</v>
      </c>
      <c r="C15" s="2"/>
      <c r="D15" s="2"/>
      <c r="E15" s="2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8" x14ac:dyDescent="0.4">
      <c r="A16" s="12" t="s">
        <v>109</v>
      </c>
      <c r="B16" s="2" t="s">
        <v>5</v>
      </c>
      <c r="C16" s="2" t="s">
        <v>6</v>
      </c>
      <c r="D16" s="2"/>
      <c r="E16" s="3">
        <v>25000</v>
      </c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8" x14ac:dyDescent="0.4">
      <c r="A17" s="12"/>
      <c r="B17" s="2" t="s">
        <v>17</v>
      </c>
      <c r="C17" s="2"/>
      <c r="D17" s="2"/>
      <c r="E17" s="2"/>
      <c r="F17" s="33">
        <v>25000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8" x14ac:dyDescent="0.4">
      <c r="A18" s="12"/>
      <c r="B18" s="2" t="s">
        <v>18</v>
      </c>
      <c r="C18" s="2"/>
      <c r="D18" s="2"/>
      <c r="E18" s="2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8" x14ac:dyDescent="0.4">
      <c r="A19" s="12" t="s">
        <v>110</v>
      </c>
      <c r="B19" s="2" t="s">
        <v>19</v>
      </c>
      <c r="C19" s="2" t="s">
        <v>6</v>
      </c>
      <c r="D19" s="2"/>
      <c r="E19" s="3">
        <v>18000</v>
      </c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8" x14ac:dyDescent="0.4">
      <c r="A20" s="12"/>
      <c r="B20" s="2" t="s">
        <v>17</v>
      </c>
      <c r="C20" s="2"/>
      <c r="D20" s="2"/>
      <c r="E20" s="2"/>
      <c r="F20" s="33">
        <v>18000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8" x14ac:dyDescent="0.4">
      <c r="A21" s="12"/>
      <c r="B21" s="2" t="s">
        <v>20</v>
      </c>
      <c r="C21" s="2"/>
      <c r="D21" s="2"/>
      <c r="E21" s="2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8" x14ac:dyDescent="0.4">
      <c r="A22" s="12" t="s">
        <v>111</v>
      </c>
      <c r="B22" s="2" t="s">
        <v>21</v>
      </c>
      <c r="C22" s="2" t="s">
        <v>6</v>
      </c>
      <c r="D22" s="2"/>
      <c r="E22" s="3">
        <v>5000</v>
      </c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8" x14ac:dyDescent="0.4">
      <c r="A23" s="12"/>
      <c r="B23" s="2" t="s">
        <v>10</v>
      </c>
      <c r="C23" s="2"/>
      <c r="D23" s="2"/>
      <c r="E23" s="2"/>
      <c r="F23" s="33">
        <v>5000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8" x14ac:dyDescent="0.4">
      <c r="A24" s="12"/>
      <c r="B24" s="2" t="s">
        <v>22</v>
      </c>
      <c r="C24" s="2"/>
      <c r="D24" s="2"/>
      <c r="E24" s="2"/>
      <c r="F24" s="1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8" x14ac:dyDescent="0.4">
      <c r="A25" s="12" t="s">
        <v>112</v>
      </c>
      <c r="B25" s="2" t="s">
        <v>23</v>
      </c>
      <c r="C25" s="2" t="s">
        <v>6</v>
      </c>
      <c r="D25" s="2"/>
      <c r="E25" s="3">
        <v>8000</v>
      </c>
      <c r="F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8" x14ac:dyDescent="0.4">
      <c r="A26" s="12"/>
      <c r="B26" s="2" t="s">
        <v>10</v>
      </c>
      <c r="C26" s="2"/>
      <c r="D26" s="2"/>
      <c r="E26" s="2"/>
      <c r="F26" s="33">
        <v>8000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8" x14ac:dyDescent="0.4">
      <c r="A27" s="12"/>
      <c r="B27" s="2" t="s">
        <v>24</v>
      </c>
      <c r="C27" s="2"/>
      <c r="D27" s="2"/>
      <c r="E27" s="2"/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8" x14ac:dyDescent="0.4">
      <c r="A28" s="12" t="s">
        <v>113</v>
      </c>
      <c r="B28" s="2" t="s">
        <v>25</v>
      </c>
      <c r="C28" s="2" t="s">
        <v>6</v>
      </c>
      <c r="D28" s="2"/>
      <c r="E28" s="3">
        <v>12000</v>
      </c>
      <c r="F28" s="1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8" x14ac:dyDescent="0.4">
      <c r="A29" s="12"/>
      <c r="B29" s="2" t="s">
        <v>10</v>
      </c>
      <c r="C29" s="2"/>
      <c r="D29" s="2"/>
      <c r="E29" s="2"/>
      <c r="F29" s="33">
        <v>12000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" x14ac:dyDescent="0.4">
      <c r="A30" s="12"/>
      <c r="B30" s="2" t="s">
        <v>26</v>
      </c>
      <c r="C30" s="2"/>
      <c r="D30" s="2"/>
      <c r="E30" s="2"/>
      <c r="F30" s="1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8" x14ac:dyDescent="0.4">
      <c r="A31" s="12" t="s">
        <v>114</v>
      </c>
      <c r="B31" s="2" t="s">
        <v>27</v>
      </c>
      <c r="C31" s="2" t="s">
        <v>6</v>
      </c>
      <c r="D31" s="2"/>
      <c r="E31" s="3">
        <v>2000</v>
      </c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8" x14ac:dyDescent="0.4">
      <c r="A32" s="12"/>
      <c r="B32" s="2" t="s">
        <v>10</v>
      </c>
      <c r="C32" s="2"/>
      <c r="D32" s="2"/>
      <c r="E32" s="2"/>
      <c r="F32" s="33">
        <v>2000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8" x14ac:dyDescent="0.4">
      <c r="A33" s="12"/>
      <c r="B33" s="2" t="s">
        <v>28</v>
      </c>
      <c r="C33" s="2"/>
      <c r="D33" s="2"/>
      <c r="E33" s="2"/>
      <c r="F33" s="1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8" x14ac:dyDescent="0.4">
      <c r="A34" s="12" t="s">
        <v>115</v>
      </c>
      <c r="B34" s="2" t="s">
        <v>5</v>
      </c>
      <c r="C34" s="2" t="s">
        <v>6</v>
      </c>
      <c r="D34" s="2"/>
      <c r="E34" s="3">
        <v>10000</v>
      </c>
      <c r="F34" s="1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8" x14ac:dyDescent="0.4">
      <c r="A35" s="12"/>
      <c r="B35" s="2" t="s">
        <v>32</v>
      </c>
      <c r="C35" s="2"/>
      <c r="D35" s="2"/>
      <c r="E35" s="2"/>
      <c r="F35" s="33">
        <v>10000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8" x14ac:dyDescent="0.4">
      <c r="A36" s="12"/>
      <c r="B36" s="2" t="s">
        <v>29</v>
      </c>
      <c r="C36" s="2"/>
      <c r="D36" s="2"/>
      <c r="E36" s="2"/>
      <c r="F36" s="1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8" x14ac:dyDescent="0.4">
      <c r="A37" s="12" t="s">
        <v>116</v>
      </c>
      <c r="B37" s="2" t="s">
        <v>30</v>
      </c>
      <c r="C37" s="2" t="s">
        <v>6</v>
      </c>
      <c r="D37" s="2"/>
      <c r="E37" s="3">
        <v>12000</v>
      </c>
      <c r="F37" s="1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8" x14ac:dyDescent="0.4">
      <c r="A38" s="12"/>
      <c r="B38" s="2" t="s">
        <v>31</v>
      </c>
      <c r="C38" s="2"/>
      <c r="D38" s="2"/>
      <c r="E38" s="2"/>
      <c r="F38" s="33">
        <v>12000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8" x14ac:dyDescent="0.4">
      <c r="A39" s="12"/>
      <c r="B39" s="2" t="s">
        <v>33</v>
      </c>
      <c r="C39" s="2"/>
      <c r="D39" s="2"/>
      <c r="E39" s="2"/>
      <c r="F39" s="1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8" x14ac:dyDescent="0.4">
      <c r="A40" s="12" t="s">
        <v>117</v>
      </c>
      <c r="B40" s="2" t="s">
        <v>34</v>
      </c>
      <c r="C40" s="2" t="s">
        <v>6</v>
      </c>
      <c r="D40" s="2"/>
      <c r="E40" s="3">
        <v>1500</v>
      </c>
      <c r="F40" s="1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8" x14ac:dyDescent="0.4">
      <c r="A41" s="12"/>
      <c r="B41" s="2" t="s">
        <v>10</v>
      </c>
      <c r="C41" s="2"/>
      <c r="D41" s="2"/>
      <c r="E41" s="2"/>
      <c r="F41" s="33">
        <v>1500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8" x14ac:dyDescent="0.4">
      <c r="A42" s="12"/>
      <c r="B42" s="2" t="s">
        <v>35</v>
      </c>
      <c r="C42" s="2"/>
      <c r="D42" s="2"/>
      <c r="E42" s="2"/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8" x14ac:dyDescent="0.4">
      <c r="A43" s="12" t="s">
        <v>118</v>
      </c>
      <c r="B43" s="2" t="s">
        <v>36</v>
      </c>
      <c r="C43" s="2" t="s">
        <v>6</v>
      </c>
      <c r="D43" s="2"/>
      <c r="E43" s="3">
        <v>2500</v>
      </c>
      <c r="F43" s="1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8" x14ac:dyDescent="0.4">
      <c r="A44" s="12"/>
      <c r="B44" s="2" t="s">
        <v>10</v>
      </c>
      <c r="C44" s="2"/>
      <c r="D44" s="2"/>
      <c r="E44" s="2"/>
      <c r="F44" s="33">
        <v>2500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8" x14ac:dyDescent="0.4">
      <c r="A45" s="12"/>
      <c r="B45" s="2" t="s">
        <v>37</v>
      </c>
      <c r="C45" s="2"/>
      <c r="D45" s="2"/>
      <c r="E45" s="2"/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8" x14ac:dyDescent="0.4">
      <c r="A46" s="12" t="s">
        <v>119</v>
      </c>
      <c r="B46" s="2" t="s">
        <v>5</v>
      </c>
      <c r="C46" s="2" t="s">
        <v>6</v>
      </c>
      <c r="D46" s="2"/>
      <c r="E46" s="3">
        <v>3000</v>
      </c>
      <c r="F46" s="1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8" x14ac:dyDescent="0.4">
      <c r="A47" s="12"/>
      <c r="B47" s="2" t="s">
        <v>68</v>
      </c>
      <c r="C47" s="2"/>
      <c r="D47" s="2"/>
      <c r="E47" s="2"/>
      <c r="F47" s="33">
        <v>3000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8" x14ac:dyDescent="0.4">
      <c r="A48" s="12"/>
      <c r="B48" s="2" t="s">
        <v>38</v>
      </c>
      <c r="C48" s="2"/>
      <c r="D48" s="2"/>
      <c r="E48" s="2"/>
      <c r="F48" s="1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8" x14ac:dyDescent="0.4">
      <c r="A49" s="12" t="s">
        <v>120</v>
      </c>
      <c r="B49" s="2" t="s">
        <v>39</v>
      </c>
      <c r="C49" s="2" t="s">
        <v>6</v>
      </c>
      <c r="D49" s="2"/>
      <c r="E49" s="3">
        <v>5000</v>
      </c>
      <c r="F49" s="1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8" x14ac:dyDescent="0.4">
      <c r="A50" s="12"/>
      <c r="B50" s="2" t="s">
        <v>10</v>
      </c>
      <c r="C50" s="2"/>
      <c r="D50" s="2"/>
      <c r="E50" s="2"/>
      <c r="F50" s="33">
        <v>5000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8" x14ac:dyDescent="0.4">
      <c r="A51" s="12"/>
      <c r="B51" s="2" t="s">
        <v>40</v>
      </c>
      <c r="C51" s="2"/>
      <c r="D51" s="2"/>
      <c r="E51" s="2"/>
      <c r="F51" s="1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8" x14ac:dyDescent="0.4">
      <c r="A52" s="12" t="s">
        <v>121</v>
      </c>
      <c r="B52" s="2" t="s">
        <v>12</v>
      </c>
      <c r="C52" s="2" t="s">
        <v>6</v>
      </c>
      <c r="D52" s="2"/>
      <c r="E52" s="3">
        <v>10000</v>
      </c>
      <c r="F52" s="1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" x14ac:dyDescent="0.4">
      <c r="A53" s="12"/>
      <c r="B53" s="2" t="s">
        <v>41</v>
      </c>
      <c r="C53" s="2"/>
      <c r="D53" s="2"/>
      <c r="E53" s="2"/>
      <c r="F53" s="33">
        <v>10000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8" x14ac:dyDescent="0.4">
      <c r="A54" s="12"/>
      <c r="B54" s="2" t="s">
        <v>42</v>
      </c>
      <c r="C54" s="2"/>
      <c r="D54" s="2"/>
      <c r="E54" s="2"/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8" x14ac:dyDescent="0.4">
      <c r="A55" s="12" t="s">
        <v>122</v>
      </c>
      <c r="B55" s="2" t="s">
        <v>43</v>
      </c>
      <c r="C55" s="2" t="s">
        <v>6</v>
      </c>
      <c r="D55" s="2"/>
      <c r="E55" s="3">
        <v>14000</v>
      </c>
      <c r="F55" s="1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8" x14ac:dyDescent="0.4">
      <c r="A56" s="12"/>
      <c r="B56" s="2" t="s">
        <v>17</v>
      </c>
      <c r="C56" s="2"/>
      <c r="D56" s="2"/>
      <c r="E56" s="2"/>
      <c r="F56" s="33">
        <v>14000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8" x14ac:dyDescent="0.4">
      <c r="A57" s="12"/>
      <c r="B57" s="2" t="s">
        <v>44</v>
      </c>
      <c r="C57" s="2"/>
      <c r="D57" s="2"/>
      <c r="E57" s="2"/>
      <c r="F57" s="1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8" x14ac:dyDescent="0.4">
      <c r="A58" s="12" t="s">
        <v>123</v>
      </c>
      <c r="B58" s="2" t="s">
        <v>5</v>
      </c>
      <c r="C58" s="2" t="s">
        <v>6</v>
      </c>
      <c r="D58" s="2"/>
      <c r="E58" s="3">
        <v>8000</v>
      </c>
      <c r="F58" s="1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8" x14ac:dyDescent="0.4">
      <c r="A59" s="12"/>
      <c r="B59" s="2" t="s">
        <v>45</v>
      </c>
      <c r="C59" s="2"/>
      <c r="D59" s="2"/>
      <c r="E59" s="2"/>
      <c r="F59" s="33">
        <v>8000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8" x14ac:dyDescent="0.4">
      <c r="A60" s="12"/>
      <c r="B60" s="2" t="s">
        <v>46</v>
      </c>
      <c r="C60" s="2"/>
      <c r="D60" s="2"/>
      <c r="E60" s="2"/>
      <c r="F60" s="1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8" x14ac:dyDescent="0.4">
      <c r="A61" s="12" t="s">
        <v>124</v>
      </c>
      <c r="B61" s="2" t="s">
        <v>47</v>
      </c>
      <c r="C61" s="2" t="s">
        <v>6</v>
      </c>
      <c r="D61" s="2"/>
      <c r="E61" s="3">
        <v>1200</v>
      </c>
      <c r="F61" s="1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x14ac:dyDescent="0.4">
      <c r="A62" s="12"/>
      <c r="B62" s="2" t="s">
        <v>10</v>
      </c>
      <c r="C62" s="2"/>
      <c r="D62" s="2"/>
      <c r="E62" s="2"/>
      <c r="F62" s="33">
        <v>1200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8" x14ac:dyDescent="0.4">
      <c r="A63" s="12"/>
      <c r="B63" s="2" t="s">
        <v>48</v>
      </c>
      <c r="C63" s="2"/>
      <c r="D63" s="2"/>
      <c r="E63" s="2"/>
      <c r="F63" s="1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8" x14ac:dyDescent="0.4">
      <c r="A64" s="12" t="s">
        <v>125</v>
      </c>
      <c r="B64" s="2" t="s">
        <v>49</v>
      </c>
      <c r="C64" s="2" t="s">
        <v>6</v>
      </c>
      <c r="D64" s="2"/>
      <c r="E64" s="3">
        <v>1000</v>
      </c>
      <c r="F64" s="1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8" x14ac:dyDescent="0.4">
      <c r="A65" s="12"/>
      <c r="B65" s="2" t="s">
        <v>50</v>
      </c>
      <c r="C65" s="2"/>
      <c r="D65" s="2"/>
      <c r="E65" s="2"/>
      <c r="F65" s="33">
        <v>1000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8" x14ac:dyDescent="0.4">
      <c r="A66" s="12"/>
      <c r="B66" s="2" t="s">
        <v>51</v>
      </c>
      <c r="C66" s="2"/>
      <c r="D66" s="2"/>
      <c r="E66" s="2"/>
      <c r="F66" s="1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8" x14ac:dyDescent="0.4">
      <c r="A67" s="12" t="s">
        <v>126</v>
      </c>
      <c r="B67" s="2" t="s">
        <v>52</v>
      </c>
      <c r="C67" s="2" t="s">
        <v>6</v>
      </c>
      <c r="D67" s="2"/>
      <c r="E67" s="3">
        <v>2000</v>
      </c>
      <c r="F67" s="1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8" x14ac:dyDescent="0.4">
      <c r="A68" s="12"/>
      <c r="B68" s="2" t="s">
        <v>32</v>
      </c>
      <c r="C68" s="2"/>
      <c r="D68" s="2"/>
      <c r="E68" s="2"/>
      <c r="F68" s="33">
        <v>2000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8" x14ac:dyDescent="0.4">
      <c r="A69" s="12"/>
      <c r="B69" s="2" t="s">
        <v>53</v>
      </c>
      <c r="C69" s="2"/>
      <c r="D69" s="2"/>
      <c r="E69" s="2"/>
      <c r="F69" s="1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8" x14ac:dyDescent="0.4">
      <c r="A70" s="12" t="s">
        <v>127</v>
      </c>
      <c r="B70" s="2" t="s">
        <v>9</v>
      </c>
      <c r="C70" s="2" t="s">
        <v>6</v>
      </c>
      <c r="D70" s="2"/>
      <c r="E70" s="2">
        <v>800</v>
      </c>
      <c r="F70" s="1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8" x14ac:dyDescent="0.4">
      <c r="A71" s="12"/>
      <c r="B71" s="2" t="s">
        <v>54</v>
      </c>
      <c r="C71" s="2"/>
      <c r="D71" s="2"/>
      <c r="E71" s="2"/>
      <c r="F71" s="13">
        <v>800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8" x14ac:dyDescent="0.4">
      <c r="A72" s="12"/>
      <c r="B72" s="2" t="s">
        <v>55</v>
      </c>
      <c r="C72" s="2"/>
      <c r="D72" s="2"/>
      <c r="E72" s="2"/>
      <c r="F72" s="1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8" x14ac:dyDescent="0.4">
      <c r="A73" s="12" t="s">
        <v>128</v>
      </c>
      <c r="B73" s="2" t="s">
        <v>56</v>
      </c>
      <c r="C73" s="2" t="s">
        <v>6</v>
      </c>
      <c r="D73" s="2"/>
      <c r="E73" s="3">
        <v>1000</v>
      </c>
      <c r="F73" s="1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8" x14ac:dyDescent="0.4">
      <c r="A74" s="12"/>
      <c r="B74" s="2" t="s">
        <v>10</v>
      </c>
      <c r="C74" s="2"/>
      <c r="D74" s="2"/>
      <c r="E74" s="2"/>
      <c r="F74" s="33">
        <v>1000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8" x14ac:dyDescent="0.4">
      <c r="A75" s="12"/>
      <c r="B75" s="2" t="s">
        <v>57</v>
      </c>
      <c r="C75" s="2"/>
      <c r="D75" s="2"/>
      <c r="E75" s="2"/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8" x14ac:dyDescent="0.4">
      <c r="A76" s="12" t="s">
        <v>129</v>
      </c>
      <c r="B76" s="2" t="s">
        <v>58</v>
      </c>
      <c r="C76" s="2" t="s">
        <v>6</v>
      </c>
      <c r="D76" s="2"/>
      <c r="E76" s="3">
        <v>30000</v>
      </c>
      <c r="F76" s="1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8" x14ac:dyDescent="0.4">
      <c r="A77" s="12"/>
      <c r="B77" s="2" t="s">
        <v>10</v>
      </c>
      <c r="C77" s="2"/>
      <c r="D77" s="2"/>
      <c r="E77" s="2"/>
      <c r="F77" s="33">
        <v>30000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8" x14ac:dyDescent="0.4">
      <c r="A78" s="12"/>
      <c r="B78" s="2" t="s">
        <v>59</v>
      </c>
      <c r="C78" s="2"/>
      <c r="D78" s="2"/>
      <c r="E78" s="2"/>
      <c r="F78" s="1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8" x14ac:dyDescent="0.4">
      <c r="A79" s="12" t="s">
        <v>130</v>
      </c>
      <c r="B79" s="2" t="s">
        <v>60</v>
      </c>
      <c r="C79" s="2" t="s">
        <v>6</v>
      </c>
      <c r="D79" s="2"/>
      <c r="E79" s="3">
        <v>2500</v>
      </c>
      <c r="F79" s="1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8" x14ac:dyDescent="0.4">
      <c r="A80" s="12"/>
      <c r="B80" s="2" t="s">
        <v>10</v>
      </c>
      <c r="C80" s="2"/>
      <c r="D80" s="2"/>
      <c r="E80" s="2"/>
      <c r="F80" s="33">
        <v>2500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8" x14ac:dyDescent="0.4">
      <c r="A81" s="12"/>
      <c r="B81" s="2" t="s">
        <v>61</v>
      </c>
      <c r="C81" s="2"/>
      <c r="D81" s="2"/>
      <c r="E81" s="2"/>
      <c r="F81" s="1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8" x14ac:dyDescent="0.4">
      <c r="A82" s="12" t="s">
        <v>131</v>
      </c>
      <c r="B82" s="2" t="s">
        <v>5</v>
      </c>
      <c r="C82" s="2" t="s">
        <v>6</v>
      </c>
      <c r="D82" s="2"/>
      <c r="E82" s="3">
        <v>15000</v>
      </c>
      <c r="F82" s="1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8" x14ac:dyDescent="0.4">
      <c r="A83" s="12"/>
      <c r="B83" s="2" t="s">
        <v>17</v>
      </c>
      <c r="C83" s="2"/>
      <c r="D83" s="2"/>
      <c r="E83" s="2"/>
      <c r="F83" s="33">
        <v>15000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8" x14ac:dyDescent="0.4">
      <c r="A84" s="12"/>
      <c r="B84" s="2" t="s">
        <v>62</v>
      </c>
      <c r="C84" s="2"/>
      <c r="D84" s="2"/>
      <c r="E84" s="2"/>
      <c r="F84" s="1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8" x14ac:dyDescent="0.4">
      <c r="A85" s="12" t="s">
        <v>132</v>
      </c>
      <c r="B85" s="2" t="s">
        <v>67</v>
      </c>
      <c r="C85" s="2" t="s">
        <v>6</v>
      </c>
      <c r="D85" s="2"/>
      <c r="E85" s="3">
        <v>4000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8" x14ac:dyDescent="0.4">
      <c r="A86" s="12"/>
      <c r="B86" s="2" t="s">
        <v>10</v>
      </c>
      <c r="C86" s="2"/>
      <c r="D86" s="2"/>
      <c r="E86" s="2"/>
      <c r="F86" s="33">
        <v>4000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8" x14ac:dyDescent="0.4">
      <c r="A87" s="12"/>
      <c r="B87" s="2" t="s">
        <v>63</v>
      </c>
      <c r="C87" s="2"/>
      <c r="D87" s="2"/>
      <c r="E87" s="2"/>
      <c r="F87" s="13"/>
    </row>
    <row r="88" spans="1:20" ht="18" x14ac:dyDescent="0.4">
      <c r="A88" s="12" t="s">
        <v>133</v>
      </c>
      <c r="B88" s="2" t="s">
        <v>64</v>
      </c>
      <c r="C88" s="2" t="s">
        <v>6</v>
      </c>
      <c r="D88" s="2"/>
      <c r="E88" s="3">
        <v>3000</v>
      </c>
      <c r="F88" s="13"/>
    </row>
    <row r="89" spans="1:20" ht="18" x14ac:dyDescent="0.4">
      <c r="A89" s="12"/>
      <c r="B89" s="2" t="s">
        <v>10</v>
      </c>
      <c r="C89" s="2"/>
      <c r="D89" s="2"/>
      <c r="E89" s="2"/>
      <c r="F89" s="33">
        <v>3000</v>
      </c>
    </row>
    <row r="90" spans="1:20" ht="18" x14ac:dyDescent="0.4">
      <c r="A90" s="12"/>
      <c r="B90" s="2" t="s">
        <v>65</v>
      </c>
      <c r="C90" s="2"/>
      <c r="D90" s="2"/>
      <c r="E90" s="2"/>
      <c r="F90" s="13"/>
    </row>
    <row r="91" spans="1:20" ht="18" x14ac:dyDescent="0.4">
      <c r="A91" s="12" t="s">
        <v>134</v>
      </c>
      <c r="B91" s="2" t="s">
        <v>9</v>
      </c>
      <c r="C91" s="2" t="s">
        <v>6</v>
      </c>
      <c r="D91" s="2"/>
      <c r="E91" s="3">
        <v>20000</v>
      </c>
      <c r="F91" s="13"/>
    </row>
    <row r="92" spans="1:20" ht="18" x14ac:dyDescent="0.4">
      <c r="A92" s="12"/>
      <c r="B92" s="2" t="s">
        <v>10</v>
      </c>
      <c r="C92" s="2"/>
      <c r="D92" s="2"/>
      <c r="E92" s="2"/>
      <c r="F92" s="33">
        <v>20000</v>
      </c>
    </row>
    <row r="93" spans="1:20" ht="18" x14ac:dyDescent="0.4">
      <c r="A93" s="12"/>
      <c r="B93" s="2" t="s">
        <v>66</v>
      </c>
      <c r="C93" s="2"/>
      <c r="D93" s="2"/>
      <c r="E93" s="2"/>
      <c r="F93" s="13"/>
    </row>
    <row r="94" spans="1:20" ht="18.5" thickBot="1" x14ac:dyDescent="0.45">
      <c r="A94" s="23"/>
      <c r="B94" s="21"/>
      <c r="C94" s="21"/>
      <c r="D94" s="21"/>
      <c r="E94" s="21"/>
      <c r="F94" s="22"/>
    </row>
    <row r="95" spans="1:20" ht="18" x14ac:dyDescent="0.4">
      <c r="A95" s="1"/>
      <c r="B95" s="1"/>
      <c r="C95" s="1"/>
      <c r="D95" s="1"/>
      <c r="E95" s="1"/>
      <c r="F95" s="1"/>
    </row>
    <row r="96" spans="1:20" ht="18" x14ac:dyDescent="0.4">
      <c r="A96" s="1"/>
      <c r="B96" s="1"/>
      <c r="C96" s="1"/>
      <c r="D96" s="1"/>
      <c r="E96" s="1"/>
      <c r="F96" s="1"/>
    </row>
    <row r="97" spans="1:6" ht="18" x14ac:dyDescent="0.4">
      <c r="A97" s="1"/>
      <c r="B97" s="1"/>
      <c r="C97" s="1"/>
      <c r="D97" s="1"/>
      <c r="E97" s="1"/>
      <c r="F97" s="1"/>
    </row>
    <row r="98" spans="1:6" ht="18" x14ac:dyDescent="0.4">
      <c r="A98" s="1"/>
      <c r="B98" s="1"/>
      <c r="C98" s="1"/>
      <c r="D98" s="1"/>
      <c r="E98" s="1"/>
      <c r="F98" s="1"/>
    </row>
    <row r="99" spans="1:6" ht="18" x14ac:dyDescent="0.4">
      <c r="A99" s="1"/>
      <c r="B99" s="1"/>
      <c r="C99" s="1"/>
      <c r="D99" s="1"/>
      <c r="E99" s="1"/>
      <c r="F99" s="1"/>
    </row>
    <row r="100" spans="1:6" ht="18" x14ac:dyDescent="0.4">
      <c r="A100" s="1"/>
      <c r="B100" s="1"/>
      <c r="C100" s="1"/>
      <c r="D100" s="1"/>
      <c r="E100" s="1"/>
      <c r="F100" s="1"/>
    </row>
    <row r="101" spans="1:6" ht="18" x14ac:dyDescent="0.4">
      <c r="A101" s="1"/>
      <c r="B101" s="1"/>
      <c r="C101" s="1"/>
      <c r="D101" s="1"/>
      <c r="E101" s="1"/>
      <c r="F101" s="1"/>
    </row>
    <row r="102" spans="1:6" ht="18" x14ac:dyDescent="0.4">
      <c r="A102" s="1"/>
      <c r="B102" s="1"/>
      <c r="C102" s="1"/>
      <c r="D102" s="1"/>
      <c r="E102" s="1"/>
      <c r="F102" s="1"/>
    </row>
    <row r="103" spans="1:6" ht="18" x14ac:dyDescent="0.4">
      <c r="A103" s="1"/>
      <c r="B103" s="1"/>
      <c r="C103" s="1"/>
      <c r="D103" s="1"/>
      <c r="E103" s="1"/>
      <c r="F103" s="1"/>
    </row>
    <row r="104" spans="1:6" ht="18" x14ac:dyDescent="0.4">
      <c r="A104" s="1"/>
      <c r="B104" s="1"/>
      <c r="C104" s="1"/>
      <c r="D104" s="1"/>
      <c r="E104" s="1"/>
      <c r="F104" s="1"/>
    </row>
    <row r="105" spans="1:6" ht="18" x14ac:dyDescent="0.4">
      <c r="A105" s="1"/>
      <c r="B105" s="1"/>
      <c r="C105" s="1"/>
      <c r="D105" s="1"/>
      <c r="E105" s="1"/>
      <c r="F105" s="1"/>
    </row>
    <row r="106" spans="1:6" ht="18" x14ac:dyDescent="0.4">
      <c r="A106" s="1"/>
      <c r="B106" s="1"/>
      <c r="C106" s="1"/>
      <c r="D106" s="1"/>
      <c r="E106" s="1"/>
      <c r="F106" s="1"/>
    </row>
    <row r="107" spans="1:6" ht="18" x14ac:dyDescent="0.4">
      <c r="A107" s="1"/>
      <c r="B107" s="1"/>
      <c r="C107" s="1"/>
      <c r="D107" s="1"/>
      <c r="E107" s="1"/>
      <c r="F107" s="1"/>
    </row>
    <row r="108" spans="1:6" ht="18" x14ac:dyDescent="0.4">
      <c r="A108" s="1"/>
      <c r="B108" s="1"/>
      <c r="C108" s="1"/>
      <c r="D108" s="1"/>
      <c r="E108" s="1"/>
      <c r="F108" s="1"/>
    </row>
    <row r="109" spans="1:6" ht="18" x14ac:dyDescent="0.4">
      <c r="A109" s="1"/>
      <c r="B109" s="1"/>
      <c r="C109" s="1"/>
      <c r="D109" s="1"/>
      <c r="E109" s="1"/>
      <c r="F109" s="1"/>
    </row>
    <row r="110" spans="1:6" ht="18" x14ac:dyDescent="0.4">
      <c r="A110" s="1"/>
      <c r="B110" s="1"/>
      <c r="C110" s="1"/>
      <c r="D110" s="1"/>
      <c r="E110" s="1"/>
      <c r="F110" s="1"/>
    </row>
    <row r="111" spans="1:6" ht="18" x14ac:dyDescent="0.4">
      <c r="A111" s="1"/>
      <c r="B111" s="1"/>
      <c r="C111" s="1"/>
      <c r="D111" s="1"/>
      <c r="E111" s="1"/>
      <c r="F111" s="1"/>
    </row>
    <row r="112" spans="1:6" ht="18" x14ac:dyDescent="0.4">
      <c r="A112" s="1"/>
      <c r="B112" s="1"/>
      <c r="C112" s="1"/>
      <c r="D112" s="1"/>
      <c r="E112" s="1"/>
      <c r="F112" s="1"/>
    </row>
    <row r="113" spans="1:6" ht="18" x14ac:dyDescent="0.4">
      <c r="A113" s="1"/>
      <c r="B113" s="1"/>
      <c r="C113" s="1"/>
      <c r="D113" s="1"/>
      <c r="E113" s="1"/>
      <c r="F113" s="1"/>
    </row>
    <row r="114" spans="1:6" ht="18" x14ac:dyDescent="0.4">
      <c r="A114" s="1"/>
      <c r="B114" s="1"/>
      <c r="C114" s="1"/>
      <c r="D114" s="1"/>
      <c r="E114" s="1"/>
      <c r="F114" s="1"/>
    </row>
    <row r="115" spans="1:6" ht="18" x14ac:dyDescent="0.4">
      <c r="A115" s="1"/>
      <c r="B115" s="1"/>
      <c r="C115" s="1"/>
      <c r="D115" s="1"/>
      <c r="E115" s="1"/>
      <c r="F115" s="1"/>
    </row>
    <row r="116" spans="1:6" ht="18" x14ac:dyDescent="0.4">
      <c r="A116" s="1"/>
      <c r="B116" s="1"/>
      <c r="C116" s="1"/>
      <c r="D116" s="1"/>
      <c r="E116" s="1"/>
      <c r="F116" s="1"/>
    </row>
    <row r="117" spans="1:6" ht="18" x14ac:dyDescent="0.4">
      <c r="A117" s="1"/>
      <c r="B117" s="1"/>
      <c r="C117" s="1"/>
      <c r="D117" s="1"/>
      <c r="E117" s="1"/>
      <c r="F117" s="1"/>
    </row>
    <row r="118" spans="1:6" ht="18" x14ac:dyDescent="0.4">
      <c r="A118" s="1"/>
      <c r="B118" s="1"/>
      <c r="C118" s="1"/>
      <c r="D118" s="1"/>
      <c r="E118" s="1"/>
      <c r="F118" s="1"/>
    </row>
    <row r="119" spans="1:6" ht="18" x14ac:dyDescent="0.4">
      <c r="A119" s="1"/>
      <c r="B119" s="1"/>
      <c r="C119" s="1"/>
      <c r="D119" s="1"/>
      <c r="E119" s="1"/>
      <c r="F119" s="1"/>
    </row>
    <row r="120" spans="1:6" ht="18" x14ac:dyDescent="0.4">
      <c r="A120" s="1"/>
      <c r="B120" s="1"/>
      <c r="C120" s="1"/>
      <c r="D120" s="1"/>
      <c r="E120" s="1"/>
      <c r="F120" s="1"/>
    </row>
    <row r="121" spans="1:6" ht="18" x14ac:dyDescent="0.4">
      <c r="A121" s="1"/>
      <c r="B121" s="1"/>
      <c r="C121" s="1"/>
      <c r="D121" s="1"/>
      <c r="E121" s="1"/>
      <c r="F121" s="1"/>
    </row>
    <row r="122" spans="1:6" ht="18" x14ac:dyDescent="0.4">
      <c r="A122" s="1"/>
      <c r="B122" s="1"/>
      <c r="C122" s="1"/>
      <c r="D122" s="1"/>
      <c r="E122" s="1"/>
      <c r="F122" s="1"/>
    </row>
    <row r="123" spans="1:6" ht="18" x14ac:dyDescent="0.4">
      <c r="A123" s="1"/>
      <c r="B123" s="1"/>
      <c r="C123" s="1"/>
      <c r="D123" s="1"/>
      <c r="E123" s="1"/>
      <c r="F123" s="1"/>
    </row>
    <row r="124" spans="1:6" ht="18" x14ac:dyDescent="0.4">
      <c r="A124" s="1"/>
      <c r="B124" s="1"/>
      <c r="C124" s="1"/>
      <c r="D124" s="1"/>
      <c r="E124" s="1"/>
      <c r="F124" s="1"/>
    </row>
    <row r="125" spans="1:6" ht="18" x14ac:dyDescent="0.4">
      <c r="A125" s="1"/>
      <c r="B125" s="1"/>
      <c r="C125" s="1"/>
      <c r="D125" s="1"/>
      <c r="E125" s="1"/>
      <c r="F125" s="1"/>
    </row>
    <row r="126" spans="1:6" ht="18" x14ac:dyDescent="0.4">
      <c r="A126" s="1"/>
      <c r="B126" s="1"/>
      <c r="C126" s="1"/>
      <c r="D126" s="1"/>
      <c r="E126" s="1"/>
      <c r="F126" s="1"/>
    </row>
    <row r="127" spans="1:6" ht="18" x14ac:dyDescent="0.4">
      <c r="A127" s="1"/>
      <c r="B127" s="1"/>
      <c r="C127" s="1"/>
      <c r="D127" s="1"/>
      <c r="E127" s="1"/>
      <c r="F127" s="1"/>
    </row>
    <row r="128" spans="1:6" ht="18" x14ac:dyDescent="0.4">
      <c r="A128" s="1"/>
      <c r="B128" s="1"/>
      <c r="C128" s="1"/>
      <c r="D128" s="1"/>
      <c r="E128" s="1"/>
      <c r="F128" s="1"/>
    </row>
    <row r="129" spans="1:6" ht="18" x14ac:dyDescent="0.4">
      <c r="A129" s="1"/>
      <c r="B129" s="1"/>
      <c r="C129" s="1"/>
      <c r="D129" s="1"/>
      <c r="E129" s="1"/>
      <c r="F129" s="1"/>
    </row>
    <row r="130" spans="1:6" ht="18" x14ac:dyDescent="0.4">
      <c r="A130" s="1"/>
      <c r="B130" s="1"/>
      <c r="C130" s="1"/>
      <c r="D130" s="1"/>
      <c r="E130" s="1"/>
      <c r="F130" s="1"/>
    </row>
    <row r="131" spans="1:6" ht="18" x14ac:dyDescent="0.4">
      <c r="A131" s="1"/>
      <c r="B131" s="1"/>
      <c r="C131" s="1"/>
      <c r="D131" s="1"/>
      <c r="E131" s="1"/>
      <c r="F131" s="1"/>
    </row>
    <row r="132" spans="1:6" ht="18" x14ac:dyDescent="0.4">
      <c r="A132" s="1"/>
      <c r="B132" s="1"/>
      <c r="C132" s="1"/>
      <c r="D132" s="1"/>
      <c r="E132" s="1"/>
      <c r="F132" s="1"/>
    </row>
    <row r="133" spans="1:6" ht="18" x14ac:dyDescent="0.4">
      <c r="A133" s="1"/>
      <c r="B133" s="1"/>
      <c r="C133" s="1"/>
      <c r="D133" s="1"/>
      <c r="E133" s="1"/>
      <c r="F133" s="1"/>
    </row>
    <row r="134" spans="1:6" ht="18" x14ac:dyDescent="0.4">
      <c r="A134" s="1"/>
      <c r="B134" s="1"/>
      <c r="C134" s="1"/>
      <c r="D134" s="1"/>
      <c r="E134" s="1"/>
      <c r="F134" s="1"/>
    </row>
    <row r="135" spans="1:6" ht="18" x14ac:dyDescent="0.4">
      <c r="A135" s="1"/>
      <c r="B135" s="1"/>
      <c r="C135" s="1"/>
      <c r="D135" s="1"/>
      <c r="E135" s="1"/>
      <c r="F135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3BA2-29FD-441B-B396-FE68C7930035}">
  <dimension ref="A1:Z642"/>
  <sheetViews>
    <sheetView topLeftCell="A191" zoomScale="86" workbookViewId="0">
      <selection activeCell="J196" sqref="J196"/>
    </sheetView>
  </sheetViews>
  <sheetFormatPr defaultRowHeight="14.5" x14ac:dyDescent="0.35"/>
  <cols>
    <col min="1" max="1" width="12.6328125" customWidth="1"/>
    <col min="2" max="2" width="32" customWidth="1"/>
    <col min="3" max="3" width="4.54296875" customWidth="1"/>
    <col min="4" max="4" width="12.26953125" customWidth="1"/>
    <col min="5" max="5" width="12.54296875" customWidth="1"/>
    <col min="6" max="6" width="35.54296875" customWidth="1"/>
    <col min="7" max="7" width="5.36328125" customWidth="1"/>
    <col min="8" max="8" width="15.26953125" customWidth="1"/>
    <col min="11" max="11" width="10.26953125" bestFit="1" customWidth="1"/>
  </cols>
  <sheetData>
    <row r="1" spans="1:26" ht="18" x14ac:dyDescent="0.4">
      <c r="A1" s="91" t="s">
        <v>102</v>
      </c>
      <c r="B1" s="91"/>
      <c r="C1" s="91"/>
      <c r="D1" s="91"/>
      <c r="E1" s="91"/>
      <c r="F1" s="91"/>
      <c r="G1" s="91"/>
      <c r="H1" s="91"/>
      <c r="I1" s="9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4">
      <c r="A2" s="91" t="s">
        <v>103</v>
      </c>
      <c r="B2" s="91"/>
      <c r="C2" s="91"/>
      <c r="D2" s="91"/>
      <c r="E2" s="91"/>
      <c r="F2" s="91"/>
      <c r="G2" s="91"/>
      <c r="H2" s="91"/>
      <c r="I2" s="9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5" thickBot="1" x14ac:dyDescent="0.45">
      <c r="A3" s="92" t="s">
        <v>277</v>
      </c>
      <c r="B3" s="92"/>
      <c r="C3" s="92"/>
      <c r="D3" s="92"/>
      <c r="E3" s="92"/>
      <c r="F3" s="92"/>
      <c r="G3" s="92"/>
      <c r="H3" s="9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5" thickBot="1" x14ac:dyDescent="0.45">
      <c r="A4" s="24" t="s">
        <v>0</v>
      </c>
      <c r="B4" s="25" t="s">
        <v>1</v>
      </c>
      <c r="C4" s="25" t="s">
        <v>137</v>
      </c>
      <c r="D4" s="25" t="s">
        <v>135</v>
      </c>
      <c r="E4" s="25" t="s">
        <v>0</v>
      </c>
      <c r="F4" s="25" t="s">
        <v>136</v>
      </c>
      <c r="G4" s="25" t="s">
        <v>137</v>
      </c>
      <c r="H4" s="26" t="s">
        <v>135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4">
      <c r="A5" s="29" t="s">
        <v>139</v>
      </c>
      <c r="B5" s="30" t="s">
        <v>140</v>
      </c>
      <c r="C5" s="30"/>
      <c r="D5" s="31">
        <v>200000</v>
      </c>
      <c r="E5" s="30" t="s">
        <v>105</v>
      </c>
      <c r="F5" s="30" t="s">
        <v>138</v>
      </c>
      <c r="G5" s="30"/>
      <c r="H5" s="32">
        <v>200000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4">
      <c r="A6" s="12"/>
      <c r="B6" s="2"/>
      <c r="C6" s="2"/>
      <c r="D6" s="2"/>
      <c r="E6" s="2"/>
      <c r="F6" s="2"/>
      <c r="G6" s="2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4">
      <c r="A7" s="12"/>
      <c r="B7" s="2"/>
      <c r="C7" s="2"/>
      <c r="D7" s="5">
        <v>200000</v>
      </c>
      <c r="E7" s="2"/>
      <c r="F7" s="2"/>
      <c r="G7" s="2"/>
      <c r="H7" s="27">
        <v>200000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5" thickBot="1" x14ac:dyDescent="0.45">
      <c r="A8" s="23"/>
      <c r="B8" s="21"/>
      <c r="C8" s="21"/>
      <c r="D8" s="21"/>
      <c r="E8" s="21" t="s">
        <v>155</v>
      </c>
      <c r="F8" s="21" t="s">
        <v>141</v>
      </c>
      <c r="G8" s="21"/>
      <c r="H8" s="28">
        <v>200000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4">
      <c r="A9" s="91" t="s">
        <v>142</v>
      </c>
      <c r="B9" s="91"/>
      <c r="C9" s="91"/>
      <c r="D9" s="91"/>
      <c r="E9" s="91"/>
      <c r="F9" s="91"/>
      <c r="G9" s="91"/>
      <c r="H9" s="9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ht="18.5" thickBot="1" x14ac:dyDescent="0.45">
      <c r="A10" s="92" t="s">
        <v>277</v>
      </c>
      <c r="B10" s="92"/>
      <c r="C10" s="92"/>
      <c r="D10" s="92"/>
      <c r="E10" s="92"/>
      <c r="F10" s="92"/>
      <c r="G10" s="92"/>
      <c r="H10" s="92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6" ht="18.5" thickBot="1" x14ac:dyDescent="0.45">
      <c r="A11" s="24" t="s">
        <v>0</v>
      </c>
      <c r="B11" s="25" t="s">
        <v>1</v>
      </c>
      <c r="C11" s="25" t="s">
        <v>137</v>
      </c>
      <c r="D11" s="25" t="s">
        <v>135</v>
      </c>
      <c r="E11" s="25" t="s">
        <v>0</v>
      </c>
      <c r="F11" s="25" t="s">
        <v>136</v>
      </c>
      <c r="G11" s="25" t="s">
        <v>137</v>
      </c>
      <c r="H11" s="26" t="s">
        <v>135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8" x14ac:dyDescent="0.4">
      <c r="A12" s="29" t="s">
        <v>105</v>
      </c>
      <c r="B12" s="30" t="s">
        <v>143</v>
      </c>
      <c r="C12" s="30"/>
      <c r="D12" s="31">
        <v>200000</v>
      </c>
      <c r="E12" s="30" t="s">
        <v>106</v>
      </c>
      <c r="F12" s="30" t="s">
        <v>145</v>
      </c>
      <c r="G12" s="30"/>
      <c r="H12" s="32">
        <v>100000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8" x14ac:dyDescent="0.4">
      <c r="A13" s="12" t="s">
        <v>109</v>
      </c>
      <c r="B13" s="2" t="s">
        <v>144</v>
      </c>
      <c r="C13" s="2"/>
      <c r="D13" s="3">
        <v>25000</v>
      </c>
      <c r="E13" s="2" t="s">
        <v>107</v>
      </c>
      <c r="F13" s="2" t="s">
        <v>146</v>
      </c>
      <c r="G13" s="2"/>
      <c r="H13" s="33">
        <v>20000</v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8" x14ac:dyDescent="0.4">
      <c r="A14" s="12" t="s">
        <v>115</v>
      </c>
      <c r="B14" s="2" t="s">
        <v>149</v>
      </c>
      <c r="C14" s="2"/>
      <c r="D14" s="3">
        <v>10000</v>
      </c>
      <c r="E14" s="2" t="s">
        <v>111</v>
      </c>
      <c r="F14" s="2" t="s">
        <v>147</v>
      </c>
      <c r="G14" s="2"/>
      <c r="H14" s="33">
        <v>5000</v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8" x14ac:dyDescent="0.4">
      <c r="A15" s="12" t="s">
        <v>123</v>
      </c>
      <c r="B15" s="2" t="s">
        <v>153</v>
      </c>
      <c r="C15" s="2"/>
      <c r="D15" s="3">
        <v>8000</v>
      </c>
      <c r="E15" s="2" t="s">
        <v>112</v>
      </c>
      <c r="F15" s="2" t="s">
        <v>148</v>
      </c>
      <c r="G15" s="2"/>
      <c r="H15" s="33">
        <v>8000</v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8" x14ac:dyDescent="0.4">
      <c r="A16" s="12" t="s">
        <v>131</v>
      </c>
      <c r="B16" s="2" t="s">
        <v>144</v>
      </c>
      <c r="C16" s="2"/>
      <c r="D16" s="3">
        <v>15000</v>
      </c>
      <c r="E16" s="2" t="s">
        <v>113</v>
      </c>
      <c r="F16" s="2" t="s">
        <v>150</v>
      </c>
      <c r="G16" s="2"/>
      <c r="H16" s="33">
        <v>12000</v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12" t="s">
        <v>119</v>
      </c>
      <c r="B17" s="2" t="s">
        <v>257</v>
      </c>
      <c r="C17" s="2"/>
      <c r="D17" s="3">
        <v>3000</v>
      </c>
      <c r="E17" s="2" t="s">
        <v>117</v>
      </c>
      <c r="F17" s="2" t="s">
        <v>151</v>
      </c>
      <c r="G17" s="2"/>
      <c r="H17" s="33">
        <v>1500</v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12"/>
      <c r="B18" s="2"/>
      <c r="C18" s="2"/>
      <c r="D18" s="3"/>
      <c r="E18" s="2" t="s">
        <v>114</v>
      </c>
      <c r="F18" s="2" t="s">
        <v>160</v>
      </c>
      <c r="G18" s="2"/>
      <c r="H18" s="33">
        <v>2000</v>
      </c>
      <c r="I18" s="1"/>
      <c r="J18" s="1"/>
      <c r="K18" s="6"/>
      <c r="L18" s="1"/>
      <c r="M18" s="1"/>
      <c r="N18" s="1"/>
      <c r="O18" s="1"/>
      <c r="P18" s="1"/>
      <c r="Q18" s="1"/>
      <c r="R18" s="1"/>
    </row>
    <row r="19" spans="1:18" ht="18" x14ac:dyDescent="0.4">
      <c r="A19" s="12"/>
      <c r="B19" s="2"/>
      <c r="C19" s="2"/>
      <c r="D19" s="3"/>
      <c r="E19" s="2" t="s">
        <v>118</v>
      </c>
      <c r="F19" s="2" t="s">
        <v>162</v>
      </c>
      <c r="G19" s="2"/>
      <c r="H19" s="33">
        <v>2500</v>
      </c>
      <c r="I19" s="1"/>
      <c r="J19" s="1"/>
      <c r="K19" s="6"/>
      <c r="L19" s="1"/>
      <c r="M19" s="1"/>
      <c r="N19" s="1"/>
      <c r="O19" s="1"/>
      <c r="P19" s="1"/>
      <c r="Q19" s="1"/>
      <c r="R19" s="1"/>
    </row>
    <row r="20" spans="1:18" ht="18" x14ac:dyDescent="0.4">
      <c r="A20" s="12"/>
      <c r="B20" s="2"/>
      <c r="C20" s="2"/>
      <c r="D20" s="3"/>
      <c r="E20" s="2" t="s">
        <v>128</v>
      </c>
      <c r="F20" s="2" t="s">
        <v>256</v>
      </c>
      <c r="G20" s="2"/>
      <c r="H20" s="33">
        <v>1000</v>
      </c>
      <c r="I20" s="1"/>
      <c r="J20" s="1"/>
      <c r="K20" s="6"/>
      <c r="L20" s="1"/>
      <c r="M20" s="1"/>
      <c r="N20" s="1"/>
      <c r="O20" s="1"/>
      <c r="P20" s="1"/>
      <c r="Q20" s="1"/>
      <c r="R20" s="1"/>
    </row>
    <row r="21" spans="1:18" ht="18" x14ac:dyDescent="0.4">
      <c r="A21" s="12"/>
      <c r="B21" s="2"/>
      <c r="C21" s="2"/>
      <c r="D21" s="3"/>
      <c r="E21" s="2" t="s">
        <v>130</v>
      </c>
      <c r="F21" s="2" t="s">
        <v>165</v>
      </c>
      <c r="G21" s="2"/>
      <c r="H21" s="33">
        <v>2500</v>
      </c>
      <c r="I21" s="1"/>
      <c r="J21" s="1"/>
      <c r="K21" s="6"/>
      <c r="L21" s="1"/>
      <c r="M21" s="1"/>
      <c r="N21" s="1"/>
      <c r="O21" s="1"/>
      <c r="P21" s="1"/>
      <c r="Q21" s="1"/>
      <c r="R21" s="1"/>
    </row>
    <row r="22" spans="1:18" ht="18" x14ac:dyDescent="0.4">
      <c r="A22" s="12"/>
      <c r="B22" s="2"/>
      <c r="C22" s="2"/>
      <c r="D22" s="3"/>
      <c r="E22" s="2" t="s">
        <v>132</v>
      </c>
      <c r="F22" s="2" t="s">
        <v>166</v>
      </c>
      <c r="G22" s="2"/>
      <c r="H22" s="33">
        <v>4000</v>
      </c>
      <c r="I22" s="1"/>
      <c r="J22" s="1"/>
      <c r="K22" s="6"/>
      <c r="L22" s="1"/>
      <c r="M22" s="1"/>
      <c r="N22" s="1"/>
      <c r="O22" s="1"/>
      <c r="P22" s="1"/>
      <c r="Q22" s="1"/>
      <c r="R22" s="1"/>
    </row>
    <row r="23" spans="1:18" ht="18" x14ac:dyDescent="0.4">
      <c r="A23" s="12"/>
      <c r="B23" s="2"/>
      <c r="C23" s="2"/>
      <c r="D23" s="3"/>
      <c r="E23" s="2" t="s">
        <v>133</v>
      </c>
      <c r="F23" s="2" t="s">
        <v>167</v>
      </c>
      <c r="G23" s="2"/>
      <c r="H23" s="33">
        <v>3000</v>
      </c>
      <c r="I23" s="1"/>
      <c r="J23" s="1"/>
      <c r="K23" s="6"/>
      <c r="L23" s="1"/>
      <c r="M23" s="1"/>
      <c r="N23" s="1"/>
      <c r="O23" s="1"/>
      <c r="P23" s="1"/>
      <c r="Q23" s="1"/>
      <c r="R23" s="1"/>
    </row>
    <row r="24" spans="1:18" ht="18" x14ac:dyDescent="0.4">
      <c r="A24" s="12"/>
      <c r="B24" s="2"/>
      <c r="C24" s="2"/>
      <c r="D24" s="3"/>
      <c r="E24" s="2" t="s">
        <v>124</v>
      </c>
      <c r="F24" s="2" t="s">
        <v>163</v>
      </c>
      <c r="G24" s="2"/>
      <c r="H24" s="33">
        <v>1200</v>
      </c>
      <c r="I24" s="1"/>
      <c r="J24" s="1"/>
      <c r="K24" s="6"/>
      <c r="L24" s="1"/>
      <c r="M24" s="1"/>
      <c r="N24" s="1"/>
      <c r="O24" s="1"/>
      <c r="P24" s="1"/>
      <c r="Q24" s="1"/>
      <c r="R24" s="1"/>
    </row>
    <row r="25" spans="1:18" ht="18" x14ac:dyDescent="0.4">
      <c r="A25" s="12"/>
      <c r="B25" s="2"/>
      <c r="C25" s="2"/>
      <c r="D25" s="3"/>
      <c r="E25" s="2" t="s">
        <v>120</v>
      </c>
      <c r="F25" s="2" t="s">
        <v>152</v>
      </c>
      <c r="G25" s="2"/>
      <c r="H25" s="33">
        <v>5000</v>
      </c>
      <c r="I25" s="1"/>
      <c r="J25" s="6"/>
      <c r="K25" s="6"/>
      <c r="L25" s="1"/>
      <c r="M25" s="1"/>
      <c r="N25" s="1"/>
      <c r="O25" s="1"/>
      <c r="P25" s="1"/>
      <c r="Q25" s="1"/>
      <c r="R25" s="1"/>
    </row>
    <row r="26" spans="1:18" ht="18" x14ac:dyDescent="0.4">
      <c r="A26" s="12"/>
      <c r="B26" s="2"/>
      <c r="C26" s="2"/>
      <c r="D26" s="3"/>
      <c r="E26" s="2" t="s">
        <v>129</v>
      </c>
      <c r="F26" s="2" t="s">
        <v>154</v>
      </c>
      <c r="G26" s="2"/>
      <c r="H26" s="33">
        <v>30000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12"/>
      <c r="B27" s="2"/>
      <c r="C27" s="2"/>
      <c r="D27" s="3"/>
      <c r="E27" s="2" t="s">
        <v>134</v>
      </c>
      <c r="F27" s="2" t="s">
        <v>145</v>
      </c>
      <c r="G27" s="2"/>
      <c r="H27" s="33">
        <v>20000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12"/>
      <c r="B28" s="2"/>
      <c r="C28" s="2"/>
      <c r="D28" s="55"/>
      <c r="E28" s="2" t="s">
        <v>139</v>
      </c>
      <c r="F28" s="2" t="s">
        <v>156</v>
      </c>
      <c r="G28" s="2"/>
      <c r="H28" s="33">
        <v>43300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12"/>
      <c r="B29" s="2"/>
      <c r="C29" s="37"/>
      <c r="D29" s="5">
        <v>261000</v>
      </c>
      <c r="E29" s="38"/>
      <c r="F29" s="2"/>
      <c r="G29" s="2"/>
      <c r="H29" s="27">
        <v>261000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.5" thickBot="1" x14ac:dyDescent="0.45">
      <c r="A30" s="23" t="s">
        <v>155</v>
      </c>
      <c r="B30" s="21" t="s">
        <v>157</v>
      </c>
      <c r="C30" s="21"/>
      <c r="D30" s="39">
        <v>43300</v>
      </c>
      <c r="E30" s="21"/>
      <c r="F30" s="21"/>
      <c r="G30" s="21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4">
      <c r="A31" s="91" t="s">
        <v>158</v>
      </c>
      <c r="B31" s="91"/>
      <c r="C31" s="91"/>
      <c r="D31" s="91"/>
      <c r="E31" s="91"/>
      <c r="F31" s="91"/>
      <c r="G31" s="91"/>
      <c r="H31" s="9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.5" thickBot="1" x14ac:dyDescent="0.45">
      <c r="A32" s="92" t="s">
        <v>277</v>
      </c>
      <c r="B32" s="92"/>
      <c r="C32" s="92"/>
      <c r="D32" s="92"/>
      <c r="E32" s="92"/>
      <c r="F32" s="92"/>
      <c r="G32" s="92"/>
      <c r="H32" s="92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.5" thickBot="1" x14ac:dyDescent="0.45">
      <c r="A33" s="24" t="s">
        <v>0</v>
      </c>
      <c r="B33" s="25" t="s">
        <v>1</v>
      </c>
      <c r="C33" s="25" t="s">
        <v>137</v>
      </c>
      <c r="D33" s="25" t="s">
        <v>135</v>
      </c>
      <c r="E33" s="25" t="s">
        <v>0</v>
      </c>
      <c r="F33" s="25" t="s">
        <v>136</v>
      </c>
      <c r="G33" s="25" t="s">
        <v>137</v>
      </c>
      <c r="H33" s="26" t="s">
        <v>135</v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4">
      <c r="A34" s="29" t="s">
        <v>106</v>
      </c>
      <c r="B34" s="30" t="s">
        <v>159</v>
      </c>
      <c r="C34" s="30"/>
      <c r="D34" s="31">
        <v>100000</v>
      </c>
      <c r="E34" s="30" t="s">
        <v>116</v>
      </c>
      <c r="F34" s="30" t="s">
        <v>161</v>
      </c>
      <c r="G34" s="30"/>
      <c r="H34" s="32">
        <v>12000</v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4">
      <c r="A35" s="12" t="s">
        <v>127</v>
      </c>
      <c r="B35" s="2" t="s">
        <v>164</v>
      </c>
      <c r="C35" s="2"/>
      <c r="D35" s="2">
        <v>800</v>
      </c>
      <c r="E35" s="2" t="s">
        <v>139</v>
      </c>
      <c r="F35" s="2" t="s">
        <v>156</v>
      </c>
      <c r="G35" s="2"/>
      <c r="H35" s="33">
        <f>SUM(D37)-SUM(H34)</f>
        <v>108800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4">
      <c r="A36" s="12" t="s">
        <v>134</v>
      </c>
      <c r="B36" s="2" t="s">
        <v>159</v>
      </c>
      <c r="C36" s="2"/>
      <c r="D36" s="3">
        <v>20000</v>
      </c>
      <c r="E36" s="2"/>
      <c r="F36" s="2"/>
      <c r="G36" s="2"/>
      <c r="H36" s="2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4">
      <c r="A37" s="12"/>
      <c r="B37" s="2"/>
      <c r="C37" s="2"/>
      <c r="D37" s="5">
        <f>SUM(D34:D36)</f>
        <v>120800</v>
      </c>
      <c r="E37" s="2"/>
      <c r="F37" s="2"/>
      <c r="G37" s="2"/>
      <c r="H37" s="27">
        <v>120800</v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.5" thickBot="1" x14ac:dyDescent="0.45">
      <c r="A38" s="23" t="s">
        <v>155</v>
      </c>
      <c r="B38" s="21" t="s">
        <v>157</v>
      </c>
      <c r="C38" s="21"/>
      <c r="D38" s="34">
        <v>108800</v>
      </c>
      <c r="E38" s="21"/>
      <c r="F38" s="21"/>
      <c r="G38" s="21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4">
      <c r="A39" s="91" t="s">
        <v>168</v>
      </c>
      <c r="B39" s="91"/>
      <c r="C39" s="91"/>
      <c r="D39" s="91"/>
      <c r="E39" s="91"/>
      <c r="F39" s="91"/>
      <c r="G39" s="91"/>
      <c r="H39" s="9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.5" thickBot="1" x14ac:dyDescent="0.45">
      <c r="A40" s="92" t="s">
        <v>277</v>
      </c>
      <c r="B40" s="92"/>
      <c r="C40" s="92"/>
      <c r="D40" s="92"/>
      <c r="E40" s="92"/>
      <c r="F40" s="92"/>
      <c r="G40" s="92"/>
      <c r="H40" s="92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.5" thickBot="1" x14ac:dyDescent="0.45">
      <c r="A41" s="24" t="s">
        <v>0</v>
      </c>
      <c r="B41" s="25" t="s">
        <v>1</v>
      </c>
      <c r="C41" s="25" t="s">
        <v>137</v>
      </c>
      <c r="D41" s="25" t="s">
        <v>135</v>
      </c>
      <c r="E41" s="25" t="s">
        <v>0</v>
      </c>
      <c r="F41" s="25" t="s">
        <v>136</v>
      </c>
      <c r="G41" s="25" t="s">
        <v>137</v>
      </c>
      <c r="H41" s="26" t="s">
        <v>135</v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29" t="s">
        <v>107</v>
      </c>
      <c r="B42" s="31" t="s">
        <v>159</v>
      </c>
      <c r="C42" s="30"/>
      <c r="D42" s="31">
        <v>20000</v>
      </c>
      <c r="E42" s="30" t="s">
        <v>139</v>
      </c>
      <c r="F42" s="30" t="s">
        <v>156</v>
      </c>
      <c r="G42" s="30"/>
      <c r="H42" s="32">
        <v>45000</v>
      </c>
      <c r="I42" s="1"/>
      <c r="J42" s="1"/>
      <c r="K42" s="1"/>
      <c r="L42" s="1"/>
      <c r="M42" s="1"/>
      <c r="N42" s="1"/>
    </row>
    <row r="43" spans="1:18" ht="18" x14ac:dyDescent="0.4">
      <c r="A43" s="12" t="s">
        <v>108</v>
      </c>
      <c r="B43" s="2" t="s">
        <v>171</v>
      </c>
      <c r="C43" s="2"/>
      <c r="D43" s="3">
        <v>15000</v>
      </c>
      <c r="E43" s="2"/>
      <c r="F43" s="2"/>
      <c r="G43" s="2"/>
      <c r="H43" s="13"/>
      <c r="I43" s="1"/>
      <c r="J43" s="1"/>
      <c r="K43" s="1"/>
      <c r="L43" s="1"/>
      <c r="M43" s="1"/>
      <c r="N43" s="1"/>
    </row>
    <row r="44" spans="1:18" ht="18" x14ac:dyDescent="0.4">
      <c r="A44" s="12" t="s">
        <v>121</v>
      </c>
      <c r="B44" s="2" t="s">
        <v>172</v>
      </c>
      <c r="C44" s="2"/>
      <c r="D44" s="3">
        <v>10000</v>
      </c>
      <c r="E44" s="2"/>
      <c r="F44" s="2"/>
      <c r="G44" s="2"/>
      <c r="H44" s="13"/>
      <c r="I44" s="1"/>
      <c r="J44" s="1"/>
      <c r="K44" s="1"/>
      <c r="L44" s="1"/>
      <c r="M44" s="1"/>
      <c r="N44" s="1"/>
    </row>
    <row r="45" spans="1:18" ht="18" x14ac:dyDescent="0.4">
      <c r="A45" s="12"/>
      <c r="B45" s="2"/>
      <c r="C45" s="2"/>
      <c r="D45" s="2"/>
      <c r="E45" s="2"/>
      <c r="F45" s="2"/>
      <c r="G45" s="2"/>
      <c r="H45" s="13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12"/>
      <c r="B46" s="2"/>
      <c r="C46" s="2"/>
      <c r="D46" s="5">
        <f>SUM(D42:D44)</f>
        <v>45000</v>
      </c>
      <c r="E46" s="2"/>
      <c r="F46" s="2"/>
      <c r="G46" s="2"/>
      <c r="H46" s="27">
        <v>45000</v>
      </c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.5" thickBot="1" x14ac:dyDescent="0.45">
      <c r="A47" s="23" t="s">
        <v>155</v>
      </c>
      <c r="B47" s="21" t="s">
        <v>157</v>
      </c>
      <c r="C47" s="21"/>
      <c r="D47" s="34">
        <v>45000</v>
      </c>
      <c r="E47" s="21"/>
      <c r="F47" s="21"/>
      <c r="G47" s="21"/>
      <c r="H47" s="22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4">
      <c r="A48" s="91" t="s">
        <v>173</v>
      </c>
      <c r="B48" s="91"/>
      <c r="C48" s="91"/>
      <c r="D48" s="91"/>
      <c r="E48" s="91"/>
      <c r="F48" s="91"/>
      <c r="G48" s="91"/>
      <c r="H48" s="9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.5" thickBot="1" x14ac:dyDescent="0.45">
      <c r="A49" s="92" t="s">
        <v>277</v>
      </c>
      <c r="B49" s="92"/>
      <c r="C49" s="92"/>
      <c r="D49" s="92"/>
      <c r="E49" s="92"/>
      <c r="F49" s="92"/>
      <c r="G49" s="92"/>
      <c r="H49" s="92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.5" thickBot="1" x14ac:dyDescent="0.45">
      <c r="A50" s="24" t="s">
        <v>0</v>
      </c>
      <c r="B50" s="25" t="s">
        <v>1</v>
      </c>
      <c r="C50" s="25" t="s">
        <v>137</v>
      </c>
      <c r="D50" s="25" t="s">
        <v>135</v>
      </c>
      <c r="E50" s="25" t="s">
        <v>0</v>
      </c>
      <c r="F50" s="25" t="s">
        <v>136</v>
      </c>
      <c r="G50" s="25" t="s">
        <v>137</v>
      </c>
      <c r="H50" s="26" t="s">
        <v>135</v>
      </c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4">
      <c r="A51" s="29" t="s">
        <v>139</v>
      </c>
      <c r="B51" s="30" t="s">
        <v>140</v>
      </c>
      <c r="C51" s="30"/>
      <c r="D51" s="31">
        <v>72000</v>
      </c>
      <c r="E51" s="30" t="s">
        <v>109</v>
      </c>
      <c r="F51" s="30" t="s">
        <v>169</v>
      </c>
      <c r="G51" s="30"/>
      <c r="H51" s="32">
        <v>25000</v>
      </c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12"/>
      <c r="B52" s="2"/>
      <c r="C52" s="2"/>
      <c r="D52" s="2"/>
      <c r="E52" s="2" t="s">
        <v>110</v>
      </c>
      <c r="F52" s="2" t="s">
        <v>174</v>
      </c>
      <c r="G52" s="2"/>
      <c r="H52" s="33">
        <v>18000</v>
      </c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12"/>
      <c r="B53" s="2"/>
      <c r="C53" s="2"/>
      <c r="D53" s="2"/>
      <c r="E53" s="2" t="s">
        <v>122</v>
      </c>
      <c r="F53" s="2" t="s">
        <v>175</v>
      </c>
      <c r="G53" s="2"/>
      <c r="H53" s="33">
        <v>14000</v>
      </c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12"/>
      <c r="B54" s="2"/>
      <c r="C54" s="2"/>
      <c r="D54" s="2"/>
      <c r="E54" s="2" t="s">
        <v>131</v>
      </c>
      <c r="F54" s="2" t="s">
        <v>169</v>
      </c>
      <c r="G54" s="2"/>
      <c r="H54" s="33">
        <v>15000</v>
      </c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4">
      <c r="A55" s="12"/>
      <c r="B55" s="2"/>
      <c r="C55" s="2"/>
      <c r="D55" s="2"/>
      <c r="E55" s="2"/>
      <c r="F55" s="2"/>
      <c r="G55" s="2"/>
      <c r="H55" s="13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2"/>
      <c r="B56" s="2"/>
      <c r="C56" s="2"/>
      <c r="D56" s="5">
        <v>72000</v>
      </c>
      <c r="E56" s="2"/>
      <c r="F56" s="2"/>
      <c r="G56" s="2"/>
      <c r="H56" s="27">
        <f>SUM(H51:H54)</f>
        <v>72000</v>
      </c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.5" thickBot="1" x14ac:dyDescent="0.45">
      <c r="A57" s="23"/>
      <c r="B57" s="21"/>
      <c r="C57" s="21"/>
      <c r="D57" s="21"/>
      <c r="E57" s="21" t="s">
        <v>155</v>
      </c>
      <c r="F57" s="21" t="s">
        <v>141</v>
      </c>
      <c r="G57" s="21"/>
      <c r="H57" s="28">
        <v>72000</v>
      </c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4">
      <c r="A58" s="91" t="s">
        <v>176</v>
      </c>
      <c r="B58" s="91"/>
      <c r="C58" s="91"/>
      <c r="D58" s="91"/>
      <c r="E58" s="91"/>
      <c r="F58" s="91"/>
      <c r="G58" s="91"/>
      <c r="H58" s="9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.5" thickBot="1" x14ac:dyDescent="0.45">
      <c r="A59" s="92" t="s">
        <v>277</v>
      </c>
      <c r="B59" s="92"/>
      <c r="C59" s="92"/>
      <c r="D59" s="92"/>
      <c r="E59" s="92"/>
      <c r="F59" s="92"/>
      <c r="G59" s="92"/>
      <c r="H59" s="92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.5" thickBot="1" x14ac:dyDescent="0.45">
      <c r="A60" s="24" t="s">
        <v>0</v>
      </c>
      <c r="B60" s="25" t="s">
        <v>1</v>
      </c>
      <c r="C60" s="25" t="s">
        <v>137</v>
      </c>
      <c r="D60" s="25" t="s">
        <v>135</v>
      </c>
      <c r="E60" s="25" t="s">
        <v>0</v>
      </c>
      <c r="F60" s="25" t="s">
        <v>136</v>
      </c>
      <c r="G60" s="25" t="s">
        <v>137</v>
      </c>
      <c r="H60" s="26" t="s">
        <v>135</v>
      </c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29" t="s">
        <v>139</v>
      </c>
      <c r="B61" s="30" t="s">
        <v>140</v>
      </c>
      <c r="C61" s="30"/>
      <c r="D61" s="31">
        <v>1000</v>
      </c>
      <c r="E61" s="30" t="s">
        <v>125</v>
      </c>
      <c r="F61" s="30" t="s">
        <v>170</v>
      </c>
      <c r="G61" s="30"/>
      <c r="H61" s="32">
        <v>1000</v>
      </c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4">
      <c r="A62" s="12"/>
      <c r="B62" s="2"/>
      <c r="C62" s="2"/>
      <c r="D62" s="2"/>
      <c r="E62" s="2"/>
      <c r="F62" s="2"/>
      <c r="G62" s="2"/>
      <c r="H62" s="13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2"/>
      <c r="B63" s="2"/>
      <c r="C63" s="2"/>
      <c r="D63" s="5">
        <v>1000</v>
      </c>
      <c r="E63" s="2"/>
      <c r="F63" s="2"/>
      <c r="G63" s="2"/>
      <c r="H63" s="27">
        <v>1000</v>
      </c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.5" thickBot="1" x14ac:dyDescent="0.45">
      <c r="A64" s="23"/>
      <c r="B64" s="21"/>
      <c r="C64" s="21"/>
      <c r="D64" s="21"/>
      <c r="E64" s="21" t="s">
        <v>155</v>
      </c>
      <c r="F64" s="21" t="s">
        <v>141</v>
      </c>
      <c r="G64" s="21"/>
      <c r="H64" s="28">
        <v>1000</v>
      </c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4">
      <c r="A65" s="91" t="s">
        <v>177</v>
      </c>
      <c r="B65" s="91"/>
      <c r="C65" s="91"/>
      <c r="D65" s="91"/>
      <c r="E65" s="91"/>
      <c r="F65" s="91"/>
      <c r="G65" s="91"/>
      <c r="H65" s="9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.5" thickBot="1" x14ac:dyDescent="0.45">
      <c r="A66" s="92" t="s">
        <v>277</v>
      </c>
      <c r="B66" s="92"/>
      <c r="C66" s="92"/>
      <c r="D66" s="92"/>
      <c r="E66" s="92"/>
      <c r="F66" s="92"/>
      <c r="G66" s="92"/>
      <c r="H66" s="92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.5" thickBot="1" x14ac:dyDescent="0.45">
      <c r="A67" s="24" t="s">
        <v>0</v>
      </c>
      <c r="B67" s="25" t="s">
        <v>1</v>
      </c>
      <c r="C67" s="25" t="s">
        <v>137</v>
      </c>
      <c r="D67" s="25" t="s">
        <v>135</v>
      </c>
      <c r="E67" s="25" t="s">
        <v>0</v>
      </c>
      <c r="F67" s="25" t="s">
        <v>136</v>
      </c>
      <c r="G67" s="25" t="s">
        <v>137</v>
      </c>
      <c r="H67" s="26" t="s">
        <v>135</v>
      </c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29" t="s">
        <v>126</v>
      </c>
      <c r="B68" s="30" t="s">
        <v>149</v>
      </c>
      <c r="C68" s="30"/>
      <c r="D68" s="31">
        <v>2000</v>
      </c>
      <c r="E68" s="30" t="s">
        <v>139</v>
      </c>
      <c r="F68" s="30" t="s">
        <v>156</v>
      </c>
      <c r="G68" s="30"/>
      <c r="H68" s="32">
        <v>2000</v>
      </c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12"/>
      <c r="B69" s="2"/>
      <c r="C69" s="2"/>
      <c r="D69" s="2"/>
      <c r="E69" s="2"/>
      <c r="F69" s="2"/>
      <c r="G69" s="2"/>
      <c r="H69" s="13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4">
      <c r="A70" s="12"/>
      <c r="B70" s="2"/>
      <c r="C70" s="2"/>
      <c r="D70" s="5">
        <v>2000</v>
      </c>
      <c r="E70" s="2"/>
      <c r="F70" s="2"/>
      <c r="G70" s="2"/>
      <c r="H70" s="27">
        <v>2000</v>
      </c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.5" thickBot="1" x14ac:dyDescent="0.45">
      <c r="A71" s="23" t="s">
        <v>155</v>
      </c>
      <c r="B71" s="21" t="s">
        <v>157</v>
      </c>
      <c r="C71" s="21"/>
      <c r="D71" s="34">
        <v>2000</v>
      </c>
      <c r="E71" s="21"/>
      <c r="F71" s="21"/>
      <c r="G71" s="21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4">
      <c r="A72" s="91" t="s">
        <v>178</v>
      </c>
      <c r="B72" s="91"/>
      <c r="C72" s="91"/>
      <c r="D72" s="91"/>
      <c r="E72" s="91"/>
      <c r="F72" s="91"/>
      <c r="G72" s="91"/>
      <c r="H72" s="9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.5" thickBot="1" x14ac:dyDescent="0.45">
      <c r="A73" s="92" t="s">
        <v>277</v>
      </c>
      <c r="B73" s="92"/>
      <c r="C73" s="92"/>
      <c r="D73" s="92"/>
      <c r="E73" s="92"/>
      <c r="F73" s="92"/>
      <c r="G73" s="92"/>
      <c r="H73" s="92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.5" thickBot="1" x14ac:dyDescent="0.45">
      <c r="A74" s="24" t="s">
        <v>0</v>
      </c>
      <c r="B74" s="25" t="s">
        <v>1</v>
      </c>
      <c r="C74" s="25" t="s">
        <v>137</v>
      </c>
      <c r="D74" s="25" t="s">
        <v>135</v>
      </c>
      <c r="E74" s="25" t="s">
        <v>0</v>
      </c>
      <c r="F74" s="25" t="s">
        <v>136</v>
      </c>
      <c r="G74" s="25" t="s">
        <v>137</v>
      </c>
      <c r="H74" s="26" t="s">
        <v>135</v>
      </c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x14ac:dyDescent="0.4">
      <c r="A75" s="29" t="s">
        <v>116</v>
      </c>
      <c r="B75" s="30" t="s">
        <v>179</v>
      </c>
      <c r="C75" s="30"/>
      <c r="D75" s="31">
        <v>12000</v>
      </c>
      <c r="E75" s="30" t="s">
        <v>108</v>
      </c>
      <c r="F75" s="30" t="s">
        <v>146</v>
      </c>
      <c r="G75" s="30"/>
      <c r="H75" s="32">
        <v>15000</v>
      </c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x14ac:dyDescent="0.4">
      <c r="A76" s="12" t="s">
        <v>139</v>
      </c>
      <c r="B76" s="2" t="s">
        <v>140</v>
      </c>
      <c r="C76" s="2"/>
      <c r="D76" s="3">
        <v>3000</v>
      </c>
      <c r="E76" s="2"/>
      <c r="F76" s="2"/>
      <c r="G76" s="2"/>
      <c r="H76" s="13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x14ac:dyDescent="0.4">
      <c r="A77" s="12"/>
      <c r="B77" s="2"/>
      <c r="C77" s="2"/>
      <c r="D77" s="5">
        <v>15000</v>
      </c>
      <c r="E77" s="2"/>
      <c r="F77" s="2"/>
      <c r="G77" s="2"/>
      <c r="H77" s="27">
        <v>15000</v>
      </c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.5" thickBot="1" x14ac:dyDescent="0.45">
      <c r="A78" s="23"/>
      <c r="B78" s="21"/>
      <c r="C78" s="21"/>
      <c r="D78" s="21"/>
      <c r="E78" s="21" t="s">
        <v>155</v>
      </c>
      <c r="F78" s="21" t="s">
        <v>141</v>
      </c>
      <c r="G78" s="21"/>
      <c r="H78" s="28">
        <v>3000</v>
      </c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x14ac:dyDescent="0.4">
      <c r="A79" s="91" t="s">
        <v>180</v>
      </c>
      <c r="B79" s="91"/>
      <c r="C79" s="91"/>
      <c r="D79" s="91"/>
      <c r="E79" s="91"/>
      <c r="F79" s="91"/>
      <c r="G79" s="91"/>
      <c r="H79" s="9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.5" thickBot="1" x14ac:dyDescent="0.45">
      <c r="A80" s="92" t="s">
        <v>277</v>
      </c>
      <c r="B80" s="92"/>
      <c r="C80" s="92"/>
      <c r="D80" s="92"/>
      <c r="E80" s="92"/>
      <c r="F80" s="92"/>
      <c r="G80" s="92"/>
      <c r="H80" s="92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.5" thickBot="1" x14ac:dyDescent="0.45">
      <c r="A81" s="24" t="s">
        <v>0</v>
      </c>
      <c r="B81" s="25" t="s">
        <v>1</v>
      </c>
      <c r="C81" s="25" t="s">
        <v>137</v>
      </c>
      <c r="D81" s="25" t="s">
        <v>135</v>
      </c>
      <c r="E81" s="25" t="s">
        <v>0</v>
      </c>
      <c r="F81" s="25" t="s">
        <v>136</v>
      </c>
      <c r="G81" s="25" t="s">
        <v>137</v>
      </c>
      <c r="H81" s="26" t="s">
        <v>135</v>
      </c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x14ac:dyDescent="0.4">
      <c r="A82" s="29" t="s">
        <v>110</v>
      </c>
      <c r="B82" s="30" t="s">
        <v>144</v>
      </c>
      <c r="C82" s="30"/>
      <c r="D82" s="31">
        <v>18000</v>
      </c>
      <c r="E82" s="30" t="s">
        <v>115</v>
      </c>
      <c r="F82" s="30" t="s">
        <v>169</v>
      </c>
      <c r="G82" s="30"/>
      <c r="H82" s="32">
        <v>10000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x14ac:dyDescent="0.4">
      <c r="A83" s="12"/>
      <c r="B83" s="2"/>
      <c r="C83" s="2"/>
      <c r="D83" s="3"/>
      <c r="E83" s="2" t="s">
        <v>126</v>
      </c>
      <c r="F83" s="2" t="s">
        <v>198</v>
      </c>
      <c r="G83" s="2"/>
      <c r="H83" s="33">
        <v>2000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x14ac:dyDescent="0.4">
      <c r="A84" s="12"/>
      <c r="B84" s="2"/>
      <c r="C84" s="2"/>
      <c r="D84" s="2"/>
      <c r="E84" s="2" t="s">
        <v>139</v>
      </c>
      <c r="F84" s="2" t="s">
        <v>156</v>
      </c>
      <c r="G84" s="2"/>
      <c r="H84" s="33">
        <v>6000</v>
      </c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" x14ac:dyDescent="0.4">
      <c r="A85" s="12"/>
      <c r="B85" s="2"/>
      <c r="C85" s="2"/>
      <c r="D85" s="5">
        <v>18000</v>
      </c>
      <c r="E85" s="2"/>
      <c r="F85" s="2"/>
      <c r="G85" s="2"/>
      <c r="H85" s="27">
        <v>18000</v>
      </c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.5" thickBot="1" x14ac:dyDescent="0.45">
      <c r="A86" s="23" t="s">
        <v>155</v>
      </c>
      <c r="B86" s="21" t="s">
        <v>157</v>
      </c>
      <c r="C86" s="21"/>
      <c r="D86" s="34">
        <v>8000</v>
      </c>
      <c r="E86" s="21"/>
      <c r="F86" s="21"/>
      <c r="G86" s="21"/>
      <c r="H86" s="22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" x14ac:dyDescent="0.4">
      <c r="A87" s="91" t="s">
        <v>199</v>
      </c>
      <c r="B87" s="91"/>
      <c r="C87" s="91"/>
      <c r="D87" s="91"/>
      <c r="E87" s="91"/>
      <c r="F87" s="91"/>
      <c r="G87" s="91"/>
      <c r="H87" s="9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.5" thickBot="1" x14ac:dyDescent="0.45">
      <c r="A88" s="92" t="s">
        <v>277</v>
      </c>
      <c r="B88" s="92"/>
      <c r="C88" s="92"/>
      <c r="D88" s="92"/>
      <c r="E88" s="92"/>
      <c r="F88" s="92"/>
      <c r="G88" s="92"/>
      <c r="H88" s="92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.5" thickBot="1" x14ac:dyDescent="0.45">
      <c r="A89" s="24" t="s">
        <v>0</v>
      </c>
      <c r="B89" s="25" t="s">
        <v>1</v>
      </c>
      <c r="C89" s="25" t="s">
        <v>137</v>
      </c>
      <c r="D89" s="25" t="s">
        <v>135</v>
      </c>
      <c r="E89" s="25" t="s">
        <v>0</v>
      </c>
      <c r="F89" s="25" t="s">
        <v>136</v>
      </c>
      <c r="G89" s="25" t="s">
        <v>137</v>
      </c>
      <c r="H89" s="26" t="s">
        <v>135</v>
      </c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x14ac:dyDescent="0.4">
      <c r="A90" s="29" t="s">
        <v>111</v>
      </c>
      <c r="B90" s="30" t="s">
        <v>159</v>
      </c>
      <c r="C90" s="30"/>
      <c r="D90" s="31">
        <v>5000</v>
      </c>
      <c r="E90" s="30" t="s">
        <v>139</v>
      </c>
      <c r="F90" s="30" t="s">
        <v>156</v>
      </c>
      <c r="G90" s="30"/>
      <c r="H90" s="32">
        <v>5000</v>
      </c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x14ac:dyDescent="0.4">
      <c r="A91" s="12"/>
      <c r="B91" s="2"/>
      <c r="C91" s="2"/>
      <c r="D91" s="2"/>
      <c r="E91" s="2"/>
      <c r="F91" s="2"/>
      <c r="G91" s="2"/>
      <c r="H91" s="13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" x14ac:dyDescent="0.4">
      <c r="A92" s="12"/>
      <c r="B92" s="2"/>
      <c r="C92" s="2"/>
      <c r="D92" s="5">
        <v>5000</v>
      </c>
      <c r="E92" s="2"/>
      <c r="F92" s="2"/>
      <c r="G92" s="2"/>
      <c r="H92" s="27">
        <v>5000</v>
      </c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.5" thickBot="1" x14ac:dyDescent="0.45">
      <c r="A93" s="23" t="s">
        <v>155</v>
      </c>
      <c r="B93" s="21" t="s">
        <v>157</v>
      </c>
      <c r="C93" s="21"/>
      <c r="D93" s="34">
        <v>5000</v>
      </c>
      <c r="E93" s="21"/>
      <c r="F93" s="21"/>
      <c r="G93" s="21"/>
      <c r="H93" s="22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" x14ac:dyDescent="0.4">
      <c r="A94" s="91" t="s">
        <v>181</v>
      </c>
      <c r="B94" s="91"/>
      <c r="C94" s="91"/>
      <c r="D94" s="91"/>
      <c r="E94" s="91"/>
      <c r="F94" s="91"/>
      <c r="G94" s="91"/>
      <c r="H94" s="9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.5" thickBot="1" x14ac:dyDescent="0.45">
      <c r="A95" s="92" t="s">
        <v>277</v>
      </c>
      <c r="B95" s="92"/>
      <c r="C95" s="92"/>
      <c r="D95" s="92"/>
      <c r="E95" s="92"/>
      <c r="F95" s="92"/>
      <c r="G95" s="92"/>
      <c r="H95" s="92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.5" thickBot="1" x14ac:dyDescent="0.45">
      <c r="A96" s="24" t="s">
        <v>0</v>
      </c>
      <c r="B96" s="25" t="s">
        <v>1</v>
      </c>
      <c r="C96" s="25" t="s">
        <v>137</v>
      </c>
      <c r="D96" s="25" t="s">
        <v>135</v>
      </c>
      <c r="E96" s="25" t="s">
        <v>0</v>
      </c>
      <c r="F96" s="25" t="s">
        <v>136</v>
      </c>
      <c r="G96" s="25" t="s">
        <v>137</v>
      </c>
      <c r="H96" s="26" t="s">
        <v>135</v>
      </c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6" ht="18" x14ac:dyDescent="0.4">
      <c r="A97" s="29" t="s">
        <v>112</v>
      </c>
      <c r="B97" s="30" t="s">
        <v>159</v>
      </c>
      <c r="C97" s="30"/>
      <c r="D97" s="31">
        <v>8000</v>
      </c>
      <c r="E97" s="30" t="s">
        <v>139</v>
      </c>
      <c r="F97" s="30" t="s">
        <v>156</v>
      </c>
      <c r="G97" s="30"/>
      <c r="H97" s="32">
        <v>8000</v>
      </c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6" ht="18" x14ac:dyDescent="0.4">
      <c r="A98" s="12"/>
      <c r="B98" s="2"/>
      <c r="C98" s="2"/>
      <c r="D98" s="2"/>
      <c r="E98" s="2"/>
      <c r="F98" s="2"/>
      <c r="G98" s="2"/>
      <c r="H98" s="13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6" ht="18" x14ac:dyDescent="0.4">
      <c r="A99" s="12"/>
      <c r="B99" s="2"/>
      <c r="C99" s="2"/>
      <c r="D99" s="5">
        <v>8000</v>
      </c>
      <c r="E99" s="2"/>
      <c r="F99" s="2"/>
      <c r="G99" s="2"/>
      <c r="H99" s="27">
        <v>8000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6" ht="18.5" thickBot="1" x14ac:dyDescent="0.45">
      <c r="A100" s="23" t="s">
        <v>155</v>
      </c>
      <c r="B100" s="21" t="s">
        <v>157</v>
      </c>
      <c r="C100" s="21"/>
      <c r="D100" s="34">
        <v>8000</v>
      </c>
      <c r="E100" s="21"/>
      <c r="F100" s="21"/>
      <c r="G100" s="21"/>
      <c r="H100" s="22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6" ht="18" x14ac:dyDescent="0.4">
      <c r="A101" s="91" t="s">
        <v>182</v>
      </c>
      <c r="B101" s="91"/>
      <c r="C101" s="91"/>
      <c r="D101" s="91"/>
      <c r="E101" s="91"/>
      <c r="F101" s="91"/>
      <c r="G101" s="91"/>
      <c r="H101" s="9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6" ht="18.5" thickBot="1" x14ac:dyDescent="0.45">
      <c r="A102" s="92" t="s">
        <v>277</v>
      </c>
      <c r="B102" s="92"/>
      <c r="C102" s="92"/>
      <c r="D102" s="92"/>
      <c r="E102" s="92"/>
      <c r="F102" s="92"/>
      <c r="G102" s="92"/>
      <c r="H102" s="92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26" ht="18.5" thickBot="1" x14ac:dyDescent="0.45">
      <c r="A103" s="24" t="s">
        <v>0</v>
      </c>
      <c r="B103" s="25" t="s">
        <v>1</v>
      </c>
      <c r="C103" s="25" t="s">
        <v>137</v>
      </c>
      <c r="D103" s="25" t="s">
        <v>135</v>
      </c>
      <c r="E103" s="25" t="s">
        <v>0</v>
      </c>
      <c r="F103" s="25" t="s">
        <v>136</v>
      </c>
      <c r="G103" s="25" t="s">
        <v>137</v>
      </c>
      <c r="H103" s="26" t="s">
        <v>135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6" ht="18" x14ac:dyDescent="0.4">
      <c r="A104" s="29" t="s">
        <v>113</v>
      </c>
      <c r="B104" s="30" t="s">
        <v>159</v>
      </c>
      <c r="C104" s="30"/>
      <c r="D104" s="31">
        <v>12000</v>
      </c>
      <c r="E104" s="30" t="s">
        <v>139</v>
      </c>
      <c r="F104" s="30" t="s">
        <v>156</v>
      </c>
      <c r="G104" s="30"/>
      <c r="H104" s="32">
        <v>12000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26" ht="18" x14ac:dyDescent="0.4">
      <c r="A105" s="12"/>
      <c r="B105" s="2"/>
      <c r="C105" s="2"/>
      <c r="D105" s="2"/>
      <c r="E105" s="2"/>
      <c r="F105" s="2"/>
      <c r="G105" s="2"/>
      <c r="H105" s="1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4">
      <c r="A106" s="12"/>
      <c r="B106" s="2"/>
      <c r="C106" s="2"/>
      <c r="D106" s="5">
        <v>12000</v>
      </c>
      <c r="E106" s="2"/>
      <c r="F106" s="2"/>
      <c r="G106" s="2"/>
      <c r="H106" s="27">
        <v>12000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5" thickBot="1" x14ac:dyDescent="0.45">
      <c r="A107" s="23" t="s">
        <v>155</v>
      </c>
      <c r="B107" s="21" t="s">
        <v>157</v>
      </c>
      <c r="C107" s="21"/>
      <c r="D107" s="34">
        <v>12000</v>
      </c>
      <c r="E107" s="21"/>
      <c r="F107" s="21"/>
      <c r="G107" s="21"/>
      <c r="H107" s="2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4">
      <c r="A108" s="91" t="s">
        <v>183</v>
      </c>
      <c r="B108" s="91"/>
      <c r="C108" s="91"/>
      <c r="D108" s="91"/>
      <c r="E108" s="91"/>
      <c r="F108" s="91"/>
      <c r="G108" s="91"/>
      <c r="H108" s="9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5" thickBot="1" x14ac:dyDescent="0.45">
      <c r="A109" s="92" t="s">
        <v>277</v>
      </c>
      <c r="B109" s="92"/>
      <c r="C109" s="92"/>
      <c r="D109" s="92"/>
      <c r="E109" s="92"/>
      <c r="F109" s="92"/>
      <c r="G109" s="92"/>
      <c r="H109" s="9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5" thickBot="1" x14ac:dyDescent="0.45">
      <c r="A110" s="24" t="s">
        <v>0</v>
      </c>
      <c r="B110" s="25" t="s">
        <v>1</v>
      </c>
      <c r="C110" s="25" t="s">
        <v>137</v>
      </c>
      <c r="D110" s="25" t="s">
        <v>135</v>
      </c>
      <c r="E110" s="25" t="s">
        <v>0</v>
      </c>
      <c r="F110" s="25" t="s">
        <v>136</v>
      </c>
      <c r="G110" s="25" t="s">
        <v>137</v>
      </c>
      <c r="H110" s="26" t="s">
        <v>135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4">
      <c r="A111" s="29" t="s">
        <v>114</v>
      </c>
      <c r="B111" s="30" t="s">
        <v>159</v>
      </c>
      <c r="C111" s="30"/>
      <c r="D111" s="31">
        <v>2000</v>
      </c>
      <c r="E111" s="30" t="s">
        <v>139</v>
      </c>
      <c r="F111" s="30" t="s">
        <v>156</v>
      </c>
      <c r="G111" s="30"/>
      <c r="H111" s="32">
        <v>2000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4">
      <c r="A112" s="12"/>
      <c r="B112" s="2"/>
      <c r="C112" s="2"/>
      <c r="D112" s="2"/>
      <c r="E112" s="2"/>
      <c r="F112" s="2"/>
      <c r="G112" s="2"/>
      <c r="H112" s="1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4">
      <c r="A113" s="12"/>
      <c r="B113" s="2"/>
      <c r="C113" s="2"/>
      <c r="D113" s="5">
        <v>2000</v>
      </c>
      <c r="E113" s="2"/>
      <c r="F113" s="2"/>
      <c r="G113" s="2"/>
      <c r="H113" s="27">
        <v>2000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5" thickBot="1" x14ac:dyDescent="0.45">
      <c r="A114" s="23" t="s">
        <v>155</v>
      </c>
      <c r="B114" s="21" t="s">
        <v>157</v>
      </c>
      <c r="C114" s="21"/>
      <c r="D114" s="34">
        <v>2000</v>
      </c>
      <c r="E114" s="21"/>
      <c r="F114" s="21"/>
      <c r="G114" s="21"/>
      <c r="H114" s="2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4">
      <c r="A115" s="91" t="s">
        <v>184</v>
      </c>
      <c r="B115" s="91"/>
      <c r="C115" s="91"/>
      <c r="D115" s="91"/>
      <c r="E115" s="91"/>
      <c r="F115" s="91"/>
      <c r="G115" s="91"/>
      <c r="H115" s="9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5" thickBot="1" x14ac:dyDescent="0.45">
      <c r="A116" s="92" t="s">
        <v>277</v>
      </c>
      <c r="B116" s="92"/>
      <c r="C116" s="92"/>
      <c r="D116" s="92"/>
      <c r="E116" s="92"/>
      <c r="F116" s="92"/>
      <c r="G116" s="92"/>
      <c r="H116" s="9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5" thickBot="1" x14ac:dyDescent="0.45">
      <c r="A117" s="24" t="s">
        <v>0</v>
      </c>
      <c r="B117" s="25" t="s">
        <v>1</v>
      </c>
      <c r="C117" s="25" t="s">
        <v>137</v>
      </c>
      <c r="D117" s="25" t="s">
        <v>135</v>
      </c>
      <c r="E117" s="25" t="s">
        <v>0</v>
      </c>
      <c r="F117" s="25" t="s">
        <v>136</v>
      </c>
      <c r="G117" s="25" t="s">
        <v>137</v>
      </c>
      <c r="H117" s="26" t="s">
        <v>135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4">
      <c r="A118" s="29" t="s">
        <v>117</v>
      </c>
      <c r="B118" s="30" t="s">
        <v>159</v>
      </c>
      <c r="C118" s="30"/>
      <c r="D118" s="31">
        <v>1500</v>
      </c>
      <c r="E118" s="30" t="s">
        <v>139</v>
      </c>
      <c r="F118" s="30" t="s">
        <v>156</v>
      </c>
      <c r="G118" s="30"/>
      <c r="H118" s="32">
        <v>1500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x14ac:dyDescent="0.4">
      <c r="A119" s="12"/>
      <c r="B119" s="2"/>
      <c r="C119" s="2"/>
      <c r="D119" s="2"/>
      <c r="E119" s="2"/>
      <c r="F119" s="2"/>
      <c r="G119" s="2"/>
      <c r="H119" s="1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x14ac:dyDescent="0.4">
      <c r="A120" s="12"/>
      <c r="B120" s="2"/>
      <c r="C120" s="2"/>
      <c r="D120" s="5">
        <v>1500</v>
      </c>
      <c r="E120" s="2"/>
      <c r="F120" s="2"/>
      <c r="G120" s="2"/>
      <c r="H120" s="27">
        <v>1500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5" thickBot="1" x14ac:dyDescent="0.45">
      <c r="A121" s="23" t="s">
        <v>155</v>
      </c>
      <c r="B121" s="21" t="s">
        <v>157</v>
      </c>
      <c r="C121" s="21"/>
      <c r="D121" s="34">
        <v>1500</v>
      </c>
      <c r="E121" s="21"/>
      <c r="F121" s="21"/>
      <c r="G121" s="21"/>
      <c r="H121" s="2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4">
      <c r="A122" s="91" t="s">
        <v>185</v>
      </c>
      <c r="B122" s="91"/>
      <c r="C122" s="91"/>
      <c r="D122" s="91"/>
      <c r="E122" s="91"/>
      <c r="F122" s="91"/>
      <c r="G122" s="91"/>
      <c r="H122" s="9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5" thickBot="1" x14ac:dyDescent="0.45">
      <c r="A123" s="92" t="s">
        <v>277</v>
      </c>
      <c r="B123" s="92"/>
      <c r="C123" s="92"/>
      <c r="D123" s="92"/>
      <c r="E123" s="92"/>
      <c r="F123" s="92"/>
      <c r="G123" s="92"/>
      <c r="H123" s="9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5" thickBot="1" x14ac:dyDescent="0.45">
      <c r="A124" s="24" t="s">
        <v>0</v>
      </c>
      <c r="B124" s="25" t="s">
        <v>1</v>
      </c>
      <c r="C124" s="25" t="s">
        <v>137</v>
      </c>
      <c r="D124" s="25" t="s">
        <v>135</v>
      </c>
      <c r="E124" s="25" t="s">
        <v>0</v>
      </c>
      <c r="F124" s="25" t="s">
        <v>136</v>
      </c>
      <c r="G124" s="25" t="s">
        <v>137</v>
      </c>
      <c r="H124" s="26" t="s">
        <v>135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4">
      <c r="A125" s="29" t="s">
        <v>118</v>
      </c>
      <c r="B125" s="30" t="s">
        <v>159</v>
      </c>
      <c r="C125" s="30"/>
      <c r="D125" s="31">
        <v>2500</v>
      </c>
      <c r="E125" s="30" t="s">
        <v>139</v>
      </c>
      <c r="F125" s="30" t="s">
        <v>156</v>
      </c>
      <c r="G125" s="30"/>
      <c r="H125" s="32">
        <v>2500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4">
      <c r="A126" s="12"/>
      <c r="B126" s="2"/>
      <c r="C126" s="2"/>
      <c r="D126" s="2"/>
      <c r="E126" s="2"/>
      <c r="F126" s="2"/>
      <c r="G126" s="2"/>
      <c r="H126" s="1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4">
      <c r="A127" s="12"/>
      <c r="B127" s="2"/>
      <c r="C127" s="2"/>
      <c r="D127" s="5">
        <v>2500</v>
      </c>
      <c r="E127" s="2"/>
      <c r="F127" s="2"/>
      <c r="G127" s="2"/>
      <c r="H127" s="27">
        <v>2500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5" thickBot="1" x14ac:dyDescent="0.45">
      <c r="A128" s="23" t="s">
        <v>155</v>
      </c>
      <c r="B128" s="21" t="s">
        <v>157</v>
      </c>
      <c r="C128" s="21"/>
      <c r="D128" s="34">
        <v>2500</v>
      </c>
      <c r="E128" s="21"/>
      <c r="F128" s="21"/>
      <c r="G128" s="21"/>
      <c r="H128" s="2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4">
      <c r="A129" s="91" t="s">
        <v>186</v>
      </c>
      <c r="B129" s="91"/>
      <c r="C129" s="91"/>
      <c r="D129" s="91"/>
      <c r="E129" s="91"/>
      <c r="F129" s="91"/>
      <c r="G129" s="91"/>
      <c r="H129" s="9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5" thickBot="1" x14ac:dyDescent="0.45">
      <c r="A130" s="92" t="s">
        <v>277</v>
      </c>
      <c r="B130" s="92"/>
      <c r="C130" s="92"/>
      <c r="D130" s="92"/>
      <c r="E130" s="92"/>
      <c r="F130" s="92"/>
      <c r="G130" s="92"/>
      <c r="H130" s="9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5" thickBot="1" x14ac:dyDescent="0.45">
      <c r="A131" s="24" t="s">
        <v>0</v>
      </c>
      <c r="B131" s="25" t="s">
        <v>1</v>
      </c>
      <c r="C131" s="25" t="s">
        <v>137</v>
      </c>
      <c r="D131" s="25" t="s">
        <v>135</v>
      </c>
      <c r="E131" s="25" t="s">
        <v>0</v>
      </c>
      <c r="F131" s="25" t="s">
        <v>136</v>
      </c>
      <c r="G131" s="25" t="s">
        <v>137</v>
      </c>
      <c r="H131" s="26" t="s">
        <v>135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4">
      <c r="A132" s="29" t="s">
        <v>139</v>
      </c>
      <c r="B132" s="30" t="s">
        <v>140</v>
      </c>
      <c r="C132" s="30"/>
      <c r="D132" s="31">
        <v>3000</v>
      </c>
      <c r="E132" s="30" t="s">
        <v>119</v>
      </c>
      <c r="F132" s="30" t="s">
        <v>169</v>
      </c>
      <c r="G132" s="30"/>
      <c r="H132" s="32">
        <v>3000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4">
      <c r="A133" s="12"/>
      <c r="B133" s="2"/>
      <c r="C133" s="2"/>
      <c r="D133" s="2"/>
      <c r="E133" s="2"/>
      <c r="F133" s="2"/>
      <c r="G133" s="2"/>
      <c r="H133" s="1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4">
      <c r="A134" s="12"/>
      <c r="B134" s="2"/>
      <c r="C134" s="2"/>
      <c r="D134" s="5">
        <v>3000</v>
      </c>
      <c r="E134" s="2"/>
      <c r="F134" s="2"/>
      <c r="G134" s="2"/>
      <c r="H134" s="27">
        <v>3000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5" thickBot="1" x14ac:dyDescent="0.45">
      <c r="A135" s="23"/>
      <c r="B135" s="21"/>
      <c r="C135" s="21"/>
      <c r="D135" s="21"/>
      <c r="E135" s="21" t="s">
        <v>155</v>
      </c>
      <c r="F135" s="21" t="s">
        <v>141</v>
      </c>
      <c r="G135" s="21"/>
      <c r="H135" s="28">
        <v>3000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4">
      <c r="A136" s="91" t="s">
        <v>187</v>
      </c>
      <c r="B136" s="91"/>
      <c r="C136" s="91"/>
      <c r="D136" s="91"/>
      <c r="E136" s="91"/>
      <c r="F136" s="91"/>
      <c r="G136" s="91"/>
      <c r="H136" s="9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5" thickBot="1" x14ac:dyDescent="0.45">
      <c r="A137" s="92" t="s">
        <v>277</v>
      </c>
      <c r="B137" s="92"/>
      <c r="C137" s="92"/>
      <c r="D137" s="92"/>
      <c r="E137" s="92"/>
      <c r="F137" s="92"/>
      <c r="G137" s="92"/>
      <c r="H137" s="9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5" thickBot="1" x14ac:dyDescent="0.45">
      <c r="A138" s="24" t="s">
        <v>0</v>
      </c>
      <c r="B138" s="25" t="s">
        <v>1</v>
      </c>
      <c r="C138" s="25" t="s">
        <v>137</v>
      </c>
      <c r="D138" s="25" t="s">
        <v>135</v>
      </c>
      <c r="E138" s="25" t="s">
        <v>0</v>
      </c>
      <c r="F138" s="25" t="s">
        <v>136</v>
      </c>
      <c r="G138" s="25" t="s">
        <v>137</v>
      </c>
      <c r="H138" s="26" t="s">
        <v>135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4">
      <c r="A139" s="29" t="s">
        <v>120</v>
      </c>
      <c r="B139" s="30" t="s">
        <v>159</v>
      </c>
      <c r="C139" s="30"/>
      <c r="D139" s="31">
        <v>5000</v>
      </c>
      <c r="E139" s="30" t="s">
        <v>139</v>
      </c>
      <c r="F139" s="30" t="s">
        <v>156</v>
      </c>
      <c r="G139" s="30"/>
      <c r="H139" s="32">
        <v>5000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4">
      <c r="A140" s="12"/>
      <c r="B140" s="2"/>
      <c r="C140" s="2"/>
      <c r="D140" s="2"/>
      <c r="E140" s="2"/>
      <c r="F140" s="2"/>
      <c r="G140" s="2"/>
      <c r="H140" s="1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4">
      <c r="A141" s="12"/>
      <c r="B141" s="2"/>
      <c r="C141" s="2"/>
      <c r="D141" s="5">
        <v>5000</v>
      </c>
      <c r="E141" s="2"/>
      <c r="F141" s="2"/>
      <c r="G141" s="2"/>
      <c r="H141" s="27">
        <v>5000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5" thickBot="1" x14ac:dyDescent="0.45">
      <c r="A142" s="23" t="s">
        <v>155</v>
      </c>
      <c r="B142" s="21" t="s">
        <v>157</v>
      </c>
      <c r="C142" s="21"/>
      <c r="D142" s="34">
        <v>5000</v>
      </c>
      <c r="E142" s="21"/>
      <c r="F142" s="21"/>
      <c r="G142" s="21"/>
      <c r="H142" s="2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4">
      <c r="A143" s="91" t="s">
        <v>188</v>
      </c>
      <c r="B143" s="91"/>
      <c r="C143" s="91"/>
      <c r="D143" s="91"/>
      <c r="E143" s="91"/>
      <c r="F143" s="91"/>
      <c r="G143" s="91"/>
      <c r="H143" s="9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5" thickBot="1" x14ac:dyDescent="0.45">
      <c r="A144" s="92" t="s">
        <v>277</v>
      </c>
      <c r="B144" s="92"/>
      <c r="C144" s="92"/>
      <c r="D144" s="92"/>
      <c r="E144" s="92"/>
      <c r="F144" s="92"/>
      <c r="G144" s="92"/>
      <c r="H144" s="9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5" thickBot="1" x14ac:dyDescent="0.45">
      <c r="A145" s="24" t="s">
        <v>0</v>
      </c>
      <c r="B145" s="25" t="s">
        <v>1</v>
      </c>
      <c r="C145" s="25" t="s">
        <v>137</v>
      </c>
      <c r="D145" s="25" t="s">
        <v>135</v>
      </c>
      <c r="E145" s="25" t="s">
        <v>0</v>
      </c>
      <c r="F145" s="25" t="s">
        <v>136</v>
      </c>
      <c r="G145" s="25" t="s">
        <v>137</v>
      </c>
      <c r="H145" s="26" t="s">
        <v>135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4">
      <c r="A146" s="29" t="s">
        <v>125</v>
      </c>
      <c r="B146" s="30" t="s">
        <v>189</v>
      </c>
      <c r="C146" s="30"/>
      <c r="D146" s="31">
        <v>1000</v>
      </c>
      <c r="E146" s="30" t="s">
        <v>121</v>
      </c>
      <c r="F146" s="30" t="s">
        <v>146</v>
      </c>
      <c r="G146" s="30"/>
      <c r="H146" s="32">
        <v>10000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4">
      <c r="A147" s="12" t="s">
        <v>139</v>
      </c>
      <c r="B147" s="2" t="s">
        <v>140</v>
      </c>
      <c r="C147" s="2"/>
      <c r="D147" s="3">
        <v>9000</v>
      </c>
      <c r="E147" s="2"/>
      <c r="F147" s="2"/>
      <c r="G147" s="2"/>
      <c r="H147" s="1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4">
      <c r="A148" s="12"/>
      <c r="B148" s="2"/>
      <c r="C148" s="2"/>
      <c r="D148" s="5">
        <v>10000</v>
      </c>
      <c r="E148" s="2"/>
      <c r="F148" s="2"/>
      <c r="G148" s="2"/>
      <c r="H148" s="27">
        <v>10000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5" thickBot="1" x14ac:dyDescent="0.45">
      <c r="A149" s="23"/>
      <c r="B149" s="21"/>
      <c r="C149" s="21"/>
      <c r="D149" s="21"/>
      <c r="E149" s="21" t="s">
        <v>155</v>
      </c>
      <c r="F149" s="21" t="s">
        <v>141</v>
      </c>
      <c r="G149" s="21"/>
      <c r="H149" s="28">
        <v>9000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4">
      <c r="A150" s="91" t="s">
        <v>190</v>
      </c>
      <c r="B150" s="91"/>
      <c r="C150" s="91"/>
      <c r="D150" s="91"/>
      <c r="E150" s="91"/>
      <c r="F150" s="91"/>
      <c r="G150" s="91"/>
      <c r="H150" s="9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5" thickBot="1" x14ac:dyDescent="0.45">
      <c r="A151" s="92" t="s">
        <v>277</v>
      </c>
      <c r="B151" s="92"/>
      <c r="C151" s="92"/>
      <c r="D151" s="92"/>
      <c r="E151" s="92"/>
      <c r="F151" s="92"/>
      <c r="G151" s="92"/>
      <c r="H151" s="9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5" thickBot="1" x14ac:dyDescent="0.45">
      <c r="A152" s="24" t="s">
        <v>0</v>
      </c>
      <c r="B152" s="25" t="s">
        <v>1</v>
      </c>
      <c r="C152" s="25" t="s">
        <v>137</v>
      </c>
      <c r="D152" s="25" t="s">
        <v>135</v>
      </c>
      <c r="E152" s="25" t="s">
        <v>0</v>
      </c>
      <c r="F152" s="25" t="s">
        <v>136</v>
      </c>
      <c r="G152" s="25" t="s">
        <v>137</v>
      </c>
      <c r="H152" s="26" t="s">
        <v>135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4">
      <c r="A153" s="29" t="s">
        <v>122</v>
      </c>
      <c r="B153" s="30" t="s">
        <v>144</v>
      </c>
      <c r="C153" s="30"/>
      <c r="D153" s="31">
        <v>14000</v>
      </c>
      <c r="E153" s="30" t="s">
        <v>123</v>
      </c>
      <c r="F153" s="30" t="s">
        <v>169</v>
      </c>
      <c r="G153" s="30"/>
      <c r="H153" s="32">
        <v>8000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4">
      <c r="A154" s="12"/>
      <c r="B154" s="2"/>
      <c r="C154" s="2"/>
      <c r="D154" s="2"/>
      <c r="E154" s="2" t="s">
        <v>139</v>
      </c>
      <c r="F154" s="2" t="s">
        <v>156</v>
      </c>
      <c r="G154" s="2"/>
      <c r="H154" s="33">
        <v>6000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4">
      <c r="A155" s="12"/>
      <c r="B155" s="2"/>
      <c r="C155" s="2"/>
      <c r="D155" s="5">
        <v>14000</v>
      </c>
      <c r="E155" s="2"/>
      <c r="F155" s="2"/>
      <c r="G155" s="2"/>
      <c r="H155" s="27">
        <v>14000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5" thickBot="1" x14ac:dyDescent="0.45">
      <c r="A156" s="23" t="s">
        <v>155</v>
      </c>
      <c r="B156" s="21" t="s">
        <v>157</v>
      </c>
      <c r="C156" s="21"/>
      <c r="D156" s="34">
        <v>6000</v>
      </c>
      <c r="E156" s="21"/>
      <c r="F156" s="21"/>
      <c r="G156" s="21"/>
      <c r="H156" s="2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x14ac:dyDescent="0.4">
      <c r="A157" s="91" t="s">
        <v>191</v>
      </c>
      <c r="B157" s="91"/>
      <c r="C157" s="91"/>
      <c r="D157" s="91"/>
      <c r="E157" s="91"/>
      <c r="F157" s="91"/>
      <c r="G157" s="91"/>
      <c r="H157" s="9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5" thickBot="1" x14ac:dyDescent="0.45">
      <c r="A158" s="92" t="s">
        <v>277</v>
      </c>
      <c r="B158" s="92"/>
      <c r="C158" s="92"/>
      <c r="D158" s="92"/>
      <c r="E158" s="92"/>
      <c r="F158" s="92"/>
      <c r="G158" s="92"/>
      <c r="H158" s="9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5" thickBot="1" x14ac:dyDescent="0.45">
      <c r="A159" s="24" t="s">
        <v>0</v>
      </c>
      <c r="B159" s="25" t="s">
        <v>1</v>
      </c>
      <c r="C159" s="25" t="s">
        <v>137</v>
      </c>
      <c r="D159" s="25" t="s">
        <v>135</v>
      </c>
      <c r="E159" s="25" t="s">
        <v>0</v>
      </c>
      <c r="F159" s="25" t="s">
        <v>136</v>
      </c>
      <c r="G159" s="25" t="s">
        <v>137</v>
      </c>
      <c r="H159" s="26" t="s">
        <v>135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4">
      <c r="A160" s="29" t="s">
        <v>124</v>
      </c>
      <c r="B160" s="30" t="s">
        <v>159</v>
      </c>
      <c r="C160" s="30"/>
      <c r="D160" s="31">
        <v>1200</v>
      </c>
      <c r="E160" s="30" t="s">
        <v>139</v>
      </c>
      <c r="F160" s="30" t="s">
        <v>156</v>
      </c>
      <c r="G160" s="30"/>
      <c r="H160" s="32">
        <v>1200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4">
      <c r="A161" s="12"/>
      <c r="B161" s="2"/>
      <c r="C161" s="2"/>
      <c r="D161" s="2"/>
      <c r="E161" s="2"/>
      <c r="F161" s="2"/>
      <c r="G161" s="2"/>
      <c r="H161" s="1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4">
      <c r="A162" s="12"/>
      <c r="B162" s="2"/>
      <c r="C162" s="2"/>
      <c r="D162" s="5">
        <v>1200</v>
      </c>
      <c r="E162" s="2"/>
      <c r="F162" s="2"/>
      <c r="G162" s="2"/>
      <c r="H162" s="27">
        <v>1200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5" thickBot="1" x14ac:dyDescent="0.45">
      <c r="A163" s="23" t="s">
        <v>155</v>
      </c>
      <c r="B163" s="21" t="s">
        <v>157</v>
      </c>
      <c r="C163" s="21"/>
      <c r="D163" s="34">
        <v>1200</v>
      </c>
      <c r="E163" s="21"/>
      <c r="F163" s="21"/>
      <c r="G163" s="21"/>
      <c r="H163" s="2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4">
      <c r="A164" s="91" t="s">
        <v>192</v>
      </c>
      <c r="B164" s="91"/>
      <c r="C164" s="91"/>
      <c r="D164" s="91"/>
      <c r="E164" s="91"/>
      <c r="F164" s="91"/>
      <c r="G164" s="91"/>
      <c r="H164" s="9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5" thickBot="1" x14ac:dyDescent="0.45">
      <c r="A165" s="92" t="s">
        <v>277</v>
      </c>
      <c r="B165" s="92"/>
      <c r="C165" s="92"/>
      <c r="D165" s="92"/>
      <c r="E165" s="92"/>
      <c r="F165" s="92"/>
      <c r="G165" s="92"/>
      <c r="H165" s="9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5" thickBot="1" x14ac:dyDescent="0.45">
      <c r="A166" s="24" t="s">
        <v>0</v>
      </c>
      <c r="B166" s="25" t="s">
        <v>1</v>
      </c>
      <c r="C166" s="25" t="s">
        <v>137</v>
      </c>
      <c r="D166" s="25" t="s">
        <v>135</v>
      </c>
      <c r="E166" s="25" t="s">
        <v>0</v>
      </c>
      <c r="F166" s="25" t="s">
        <v>136</v>
      </c>
      <c r="G166" s="25" t="s">
        <v>137</v>
      </c>
      <c r="H166" s="26" t="s">
        <v>135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4">
      <c r="A167" s="29" t="s">
        <v>139</v>
      </c>
      <c r="B167" s="30" t="s">
        <v>140</v>
      </c>
      <c r="C167" s="30"/>
      <c r="D167" s="30">
        <v>800</v>
      </c>
      <c r="E167" s="30" t="s">
        <v>127</v>
      </c>
      <c r="F167" s="30" t="s">
        <v>258</v>
      </c>
      <c r="G167" s="30"/>
      <c r="H167" s="35">
        <v>800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4">
      <c r="A168" s="12"/>
      <c r="B168" s="2"/>
      <c r="C168" s="2"/>
      <c r="D168" s="2"/>
      <c r="E168" s="2"/>
      <c r="F168" s="2"/>
      <c r="G168" s="2"/>
      <c r="H168" s="1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4">
      <c r="A169" s="12"/>
      <c r="B169" s="2"/>
      <c r="C169" s="2"/>
      <c r="D169" s="7">
        <v>800</v>
      </c>
      <c r="E169" s="2"/>
      <c r="F169" s="2"/>
      <c r="G169" s="2"/>
      <c r="H169" s="36">
        <v>800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5" thickBot="1" x14ac:dyDescent="0.45">
      <c r="A170" s="23"/>
      <c r="B170" s="21"/>
      <c r="C170" s="21"/>
      <c r="D170" s="21"/>
      <c r="E170" s="21" t="s">
        <v>155</v>
      </c>
      <c r="F170" s="21" t="s">
        <v>141</v>
      </c>
      <c r="G170" s="21"/>
      <c r="H170" s="22">
        <v>800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4">
      <c r="A171" s="91" t="s">
        <v>193</v>
      </c>
      <c r="B171" s="91"/>
      <c r="C171" s="91"/>
      <c r="D171" s="91"/>
      <c r="E171" s="91"/>
      <c r="F171" s="91"/>
      <c r="G171" s="91"/>
      <c r="H171" s="9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5" thickBot="1" x14ac:dyDescent="0.45">
      <c r="A172" s="92" t="s">
        <v>277</v>
      </c>
      <c r="B172" s="92"/>
      <c r="C172" s="92"/>
      <c r="D172" s="92"/>
      <c r="E172" s="92"/>
      <c r="F172" s="92"/>
      <c r="G172" s="92"/>
      <c r="H172" s="9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5" thickBot="1" x14ac:dyDescent="0.45">
      <c r="A173" s="24" t="s">
        <v>0</v>
      </c>
      <c r="B173" s="25" t="s">
        <v>1</v>
      </c>
      <c r="C173" s="25" t="s">
        <v>137</v>
      </c>
      <c r="D173" s="25" t="s">
        <v>135</v>
      </c>
      <c r="E173" s="25" t="s">
        <v>0</v>
      </c>
      <c r="F173" s="25" t="s">
        <v>136</v>
      </c>
      <c r="G173" s="25" t="s">
        <v>137</v>
      </c>
      <c r="H173" s="26" t="s">
        <v>135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4">
      <c r="A174" s="29" t="s">
        <v>128</v>
      </c>
      <c r="B174" s="30" t="s">
        <v>159</v>
      </c>
      <c r="C174" s="30"/>
      <c r="D174" s="31">
        <v>1000</v>
      </c>
      <c r="E174" s="30" t="s">
        <v>139</v>
      </c>
      <c r="F174" s="30" t="s">
        <v>156</v>
      </c>
      <c r="G174" s="30"/>
      <c r="H174" s="32">
        <v>1000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4">
      <c r="A175" s="12"/>
      <c r="B175" s="2"/>
      <c r="C175" s="2"/>
      <c r="D175" s="2"/>
      <c r="E175" s="2"/>
      <c r="F175" s="2"/>
      <c r="G175" s="2"/>
      <c r="H175" s="1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4">
      <c r="A176" s="12"/>
      <c r="B176" s="2"/>
      <c r="C176" s="2"/>
      <c r="D176" s="5">
        <v>1000</v>
      </c>
      <c r="E176" s="2"/>
      <c r="F176" s="2"/>
      <c r="G176" s="2"/>
      <c r="H176" s="27">
        <v>1000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5" thickBot="1" x14ac:dyDescent="0.45">
      <c r="A177" s="23" t="s">
        <v>155</v>
      </c>
      <c r="B177" s="21" t="s">
        <v>157</v>
      </c>
      <c r="C177" s="21"/>
      <c r="D177" s="21"/>
      <c r="E177" s="21"/>
      <c r="F177" s="21"/>
      <c r="G177" s="21"/>
      <c r="H177" s="2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4">
      <c r="A178" s="91" t="s">
        <v>194</v>
      </c>
      <c r="B178" s="91"/>
      <c r="C178" s="91"/>
      <c r="D178" s="91"/>
      <c r="E178" s="91"/>
      <c r="F178" s="91"/>
      <c r="G178" s="91"/>
      <c r="H178" s="9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5" thickBot="1" x14ac:dyDescent="0.45">
      <c r="A179" s="92" t="s">
        <v>277</v>
      </c>
      <c r="B179" s="92"/>
      <c r="C179" s="92"/>
      <c r="D179" s="92"/>
      <c r="E179" s="92"/>
      <c r="F179" s="92"/>
      <c r="G179" s="92"/>
      <c r="H179" s="9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5" thickBot="1" x14ac:dyDescent="0.45">
      <c r="A180" s="24" t="s">
        <v>0</v>
      </c>
      <c r="B180" s="25" t="s">
        <v>1</v>
      </c>
      <c r="C180" s="25" t="s">
        <v>137</v>
      </c>
      <c r="D180" s="25" t="s">
        <v>135</v>
      </c>
      <c r="E180" s="25" t="s">
        <v>0</v>
      </c>
      <c r="F180" s="25" t="s">
        <v>136</v>
      </c>
      <c r="G180" s="25" t="s">
        <v>137</v>
      </c>
      <c r="H180" s="26" t="s">
        <v>135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4">
      <c r="A181" s="29" t="s">
        <v>129</v>
      </c>
      <c r="B181" s="30" t="s">
        <v>159</v>
      </c>
      <c r="C181" s="30"/>
      <c r="D181" s="31">
        <v>30000</v>
      </c>
      <c r="E181" s="30" t="s">
        <v>139</v>
      </c>
      <c r="F181" s="30" t="s">
        <v>156</v>
      </c>
      <c r="G181" s="30"/>
      <c r="H181" s="32">
        <v>30000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4">
      <c r="A182" s="12"/>
      <c r="B182" s="2"/>
      <c r="C182" s="2"/>
      <c r="D182" s="2"/>
      <c r="E182" s="2"/>
      <c r="F182" s="2"/>
      <c r="G182" s="2"/>
      <c r="H182" s="1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4">
      <c r="A183" s="12"/>
      <c r="B183" s="2"/>
      <c r="C183" s="2"/>
      <c r="D183" s="5">
        <v>30000</v>
      </c>
      <c r="E183" s="2"/>
      <c r="F183" s="2"/>
      <c r="G183" s="2"/>
      <c r="H183" s="27">
        <v>30000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5" thickBot="1" x14ac:dyDescent="0.45">
      <c r="A184" s="23" t="s">
        <v>155</v>
      </c>
      <c r="B184" s="21" t="s">
        <v>157</v>
      </c>
      <c r="C184" s="21"/>
      <c r="D184" s="34">
        <v>30000</v>
      </c>
      <c r="E184" s="21"/>
      <c r="F184" s="21"/>
      <c r="G184" s="21"/>
      <c r="H184" s="2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4">
      <c r="A185" s="91" t="s">
        <v>60</v>
      </c>
      <c r="B185" s="91"/>
      <c r="C185" s="91"/>
      <c r="D185" s="91"/>
      <c r="E185" s="91"/>
      <c r="F185" s="91"/>
      <c r="G185" s="91"/>
      <c r="H185" s="9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5" thickBot="1" x14ac:dyDescent="0.45">
      <c r="A186" s="92" t="s">
        <v>277</v>
      </c>
      <c r="B186" s="92"/>
      <c r="C186" s="92"/>
      <c r="D186" s="92"/>
      <c r="E186" s="92"/>
      <c r="F186" s="92"/>
      <c r="G186" s="92"/>
      <c r="H186" s="9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5" thickBot="1" x14ac:dyDescent="0.45">
      <c r="A187" s="24" t="s">
        <v>0</v>
      </c>
      <c r="B187" s="25" t="s">
        <v>1</v>
      </c>
      <c r="C187" s="25" t="s">
        <v>137</v>
      </c>
      <c r="D187" s="25" t="s">
        <v>135</v>
      </c>
      <c r="E187" s="25" t="s">
        <v>0</v>
      </c>
      <c r="F187" s="25" t="s">
        <v>136</v>
      </c>
      <c r="G187" s="25" t="s">
        <v>137</v>
      </c>
      <c r="H187" s="26" t="s">
        <v>135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4">
      <c r="A188" s="29" t="s">
        <v>130</v>
      </c>
      <c r="B188" s="30" t="s">
        <v>159</v>
      </c>
      <c r="C188" s="30"/>
      <c r="D188" s="31">
        <v>2500</v>
      </c>
      <c r="E188" s="30" t="s">
        <v>139</v>
      </c>
      <c r="F188" s="30" t="s">
        <v>156</v>
      </c>
      <c r="G188" s="30"/>
      <c r="H188" s="32">
        <v>2500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4">
      <c r="A189" s="12"/>
      <c r="B189" s="2"/>
      <c r="C189" s="2"/>
      <c r="D189" s="2"/>
      <c r="E189" s="2"/>
      <c r="F189" s="2"/>
      <c r="G189" s="2"/>
      <c r="H189" s="1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4">
      <c r="A190" s="12"/>
      <c r="B190" s="2"/>
      <c r="C190" s="2"/>
      <c r="D190" s="5">
        <v>2500</v>
      </c>
      <c r="E190" s="2"/>
      <c r="F190" s="2"/>
      <c r="G190" s="2"/>
      <c r="H190" s="27">
        <v>2500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5" thickBot="1" x14ac:dyDescent="0.45">
      <c r="A191" s="23" t="s">
        <v>155</v>
      </c>
      <c r="B191" s="21" t="s">
        <v>157</v>
      </c>
      <c r="C191" s="21"/>
      <c r="D191" s="34">
        <v>2500</v>
      </c>
      <c r="E191" s="21"/>
      <c r="F191" s="21"/>
      <c r="G191" s="21"/>
      <c r="H191" s="2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4">
      <c r="A192" s="91" t="s">
        <v>195</v>
      </c>
      <c r="B192" s="91"/>
      <c r="C192" s="91"/>
      <c r="D192" s="91"/>
      <c r="E192" s="91"/>
      <c r="F192" s="91"/>
      <c r="G192" s="91"/>
      <c r="H192" s="9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5" thickBot="1" x14ac:dyDescent="0.45">
      <c r="A193" s="92" t="s">
        <v>277</v>
      </c>
      <c r="B193" s="92"/>
      <c r="C193" s="92"/>
      <c r="D193" s="92"/>
      <c r="E193" s="92"/>
      <c r="F193" s="92"/>
      <c r="G193" s="92"/>
      <c r="H193" s="9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5" thickBot="1" x14ac:dyDescent="0.45">
      <c r="A194" s="24" t="s">
        <v>0</v>
      </c>
      <c r="B194" s="25" t="s">
        <v>1</v>
      </c>
      <c r="C194" s="25" t="s">
        <v>137</v>
      </c>
      <c r="D194" s="25" t="s">
        <v>135</v>
      </c>
      <c r="E194" s="25" t="s">
        <v>0</v>
      </c>
      <c r="F194" s="25" t="s">
        <v>136</v>
      </c>
      <c r="G194" s="25" t="s">
        <v>137</v>
      </c>
      <c r="H194" s="26" t="s">
        <v>135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x14ac:dyDescent="0.4">
      <c r="A195" s="29" t="s">
        <v>132</v>
      </c>
      <c r="B195" s="30" t="s">
        <v>159</v>
      </c>
      <c r="C195" s="30"/>
      <c r="D195" s="31">
        <v>4000</v>
      </c>
      <c r="E195" s="30" t="s">
        <v>139</v>
      </c>
      <c r="F195" s="30" t="s">
        <v>156</v>
      </c>
      <c r="G195" s="30"/>
      <c r="H195" s="32">
        <v>4000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x14ac:dyDescent="0.4">
      <c r="A196" s="12"/>
      <c r="B196" s="2"/>
      <c r="C196" s="2"/>
      <c r="D196" s="2"/>
      <c r="E196" s="2"/>
      <c r="F196" s="2"/>
      <c r="G196" s="2"/>
      <c r="H196" s="1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4">
      <c r="A197" s="12"/>
      <c r="B197" s="2"/>
      <c r="C197" s="2"/>
      <c r="D197" s="5">
        <v>4000</v>
      </c>
      <c r="E197" s="2"/>
      <c r="F197" s="2"/>
      <c r="G197" s="2"/>
      <c r="H197" s="27">
        <v>4000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5" thickBot="1" x14ac:dyDescent="0.45">
      <c r="A198" s="23" t="s">
        <v>155</v>
      </c>
      <c r="B198" s="21" t="s">
        <v>196</v>
      </c>
      <c r="C198" s="21"/>
      <c r="D198" s="34">
        <v>4000</v>
      </c>
      <c r="E198" s="21"/>
      <c r="F198" s="21"/>
      <c r="G198" s="21"/>
      <c r="H198" s="2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4">
      <c r="A199" s="91" t="s">
        <v>197</v>
      </c>
      <c r="B199" s="91"/>
      <c r="C199" s="91"/>
      <c r="D199" s="91"/>
      <c r="E199" s="91"/>
      <c r="F199" s="91"/>
      <c r="G199" s="91"/>
      <c r="H199" s="9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5" thickBot="1" x14ac:dyDescent="0.45">
      <c r="A200" s="92" t="s">
        <v>277</v>
      </c>
      <c r="B200" s="92"/>
      <c r="C200" s="92"/>
      <c r="D200" s="92"/>
      <c r="E200" s="92"/>
      <c r="F200" s="92"/>
      <c r="G200" s="92"/>
      <c r="H200" s="9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5" thickBot="1" x14ac:dyDescent="0.45">
      <c r="A201" s="24" t="s">
        <v>0</v>
      </c>
      <c r="B201" s="25" t="s">
        <v>1</v>
      </c>
      <c r="C201" s="25" t="s">
        <v>137</v>
      </c>
      <c r="D201" s="25" t="s">
        <v>135</v>
      </c>
      <c r="E201" s="25" t="s">
        <v>0</v>
      </c>
      <c r="F201" s="25" t="s">
        <v>136</v>
      </c>
      <c r="G201" s="25" t="s">
        <v>137</v>
      </c>
      <c r="H201" s="26" t="s">
        <v>135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4">
      <c r="A202" s="29" t="s">
        <v>133</v>
      </c>
      <c r="B202" s="30" t="s">
        <v>159</v>
      </c>
      <c r="C202" s="30"/>
      <c r="D202" s="31">
        <v>3000</v>
      </c>
      <c r="E202" s="30" t="s">
        <v>139</v>
      </c>
      <c r="F202" s="30" t="s">
        <v>156</v>
      </c>
      <c r="G202" s="30"/>
      <c r="H202" s="32">
        <v>3000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4">
      <c r="A203" s="12"/>
      <c r="B203" s="2"/>
      <c r="C203" s="2"/>
      <c r="D203" s="2"/>
      <c r="E203" s="2"/>
      <c r="F203" s="2"/>
      <c r="G203" s="2"/>
      <c r="H203" s="1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4">
      <c r="A204" s="12"/>
      <c r="B204" s="2"/>
      <c r="C204" s="2"/>
      <c r="D204" s="5">
        <v>3000</v>
      </c>
      <c r="E204" s="2"/>
      <c r="F204" s="2"/>
      <c r="G204" s="2"/>
      <c r="H204" s="27">
        <v>3000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5" thickBot="1" x14ac:dyDescent="0.45">
      <c r="A205" s="23" t="s">
        <v>155</v>
      </c>
      <c r="B205" s="21" t="s">
        <v>157</v>
      </c>
      <c r="C205" s="21"/>
      <c r="D205" s="34">
        <v>3000</v>
      </c>
      <c r="E205" s="21"/>
      <c r="F205" s="21"/>
      <c r="G205" s="21"/>
      <c r="H205" s="2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</sheetData>
  <mergeCells count="53">
    <mergeCell ref="A137:H137"/>
    <mergeCell ref="A144:H144"/>
    <mergeCell ref="A151:H151"/>
    <mergeCell ref="A1:I1"/>
    <mergeCell ref="A2:I2"/>
    <mergeCell ref="A9:H9"/>
    <mergeCell ref="A3:H3"/>
    <mergeCell ref="A130:H130"/>
    <mergeCell ref="A10:H10"/>
    <mergeCell ref="A32:H32"/>
    <mergeCell ref="A31:H31"/>
    <mergeCell ref="A40:H40"/>
    <mergeCell ref="A39:H39"/>
    <mergeCell ref="A49:H49"/>
    <mergeCell ref="A59:H59"/>
    <mergeCell ref="A66:H66"/>
    <mergeCell ref="A48:H48"/>
    <mergeCell ref="A58:H58"/>
    <mergeCell ref="A65:H65"/>
    <mergeCell ref="A109:H109"/>
    <mergeCell ref="A116:H116"/>
    <mergeCell ref="A179:H179"/>
    <mergeCell ref="A186:H186"/>
    <mergeCell ref="A123:H123"/>
    <mergeCell ref="A72:H72"/>
    <mergeCell ref="A79:H79"/>
    <mergeCell ref="A87:H87"/>
    <mergeCell ref="A94:H94"/>
    <mergeCell ref="A101:H101"/>
    <mergeCell ref="A108:H108"/>
    <mergeCell ref="A115:H115"/>
    <mergeCell ref="A122:H122"/>
    <mergeCell ref="A73:H73"/>
    <mergeCell ref="A80:H80"/>
    <mergeCell ref="A88:H88"/>
    <mergeCell ref="A95:H95"/>
    <mergeCell ref="A102:H102"/>
    <mergeCell ref="A193:H193"/>
    <mergeCell ref="A200:H200"/>
    <mergeCell ref="A129:H129"/>
    <mergeCell ref="A136:H136"/>
    <mergeCell ref="A143:H143"/>
    <mergeCell ref="A150:H150"/>
    <mergeCell ref="A157:H157"/>
    <mergeCell ref="A164:H164"/>
    <mergeCell ref="A171:H171"/>
    <mergeCell ref="A178:H178"/>
    <mergeCell ref="A185:H185"/>
    <mergeCell ref="A192:H192"/>
    <mergeCell ref="A199:H199"/>
    <mergeCell ref="A158:H158"/>
    <mergeCell ref="A165:H165"/>
    <mergeCell ref="A172:H17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306E-6516-4620-8CF5-830A90079A93}">
  <dimension ref="A1:R353"/>
  <sheetViews>
    <sheetView zoomScale="110" workbookViewId="0">
      <selection activeCell="H13" sqref="H13"/>
    </sheetView>
  </sheetViews>
  <sheetFormatPr defaultRowHeight="14.5" x14ac:dyDescent="0.35"/>
  <cols>
    <col min="2" max="2" width="31.1796875" customWidth="1"/>
    <col min="3" max="3" width="26.08984375" customWidth="1"/>
    <col min="4" max="4" width="10.36328125" customWidth="1"/>
    <col min="5" max="5" width="10.1796875" customWidth="1"/>
    <col min="8" max="8" width="10.26953125" bestFit="1" customWidth="1"/>
  </cols>
  <sheetData>
    <row r="1" spans="1:18" ht="18" x14ac:dyDescent="0.4">
      <c r="A1" s="91" t="s">
        <v>200</v>
      </c>
      <c r="B1" s="91"/>
      <c r="C1" s="91"/>
      <c r="D1" s="9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.5" thickBot="1" x14ac:dyDescent="0.45">
      <c r="A3" s="44" t="s">
        <v>225</v>
      </c>
      <c r="B3" s="16" t="s">
        <v>1</v>
      </c>
      <c r="C3" s="17" t="s">
        <v>3</v>
      </c>
      <c r="D3" s="18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4">
      <c r="A4" s="45">
        <v>1</v>
      </c>
      <c r="B4" s="40" t="s">
        <v>201</v>
      </c>
      <c r="C4" s="14">
        <v>43300</v>
      </c>
      <c r="D4" s="15" t="s">
        <v>224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8" x14ac:dyDescent="0.4">
      <c r="A5" s="46">
        <v>2</v>
      </c>
      <c r="B5" s="41" t="s">
        <v>202</v>
      </c>
      <c r="C5" s="9">
        <v>108800</v>
      </c>
      <c r="D5" s="10" t="s">
        <v>224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8" x14ac:dyDescent="0.4">
      <c r="A6" s="46">
        <v>3</v>
      </c>
      <c r="B6" s="41" t="s">
        <v>203</v>
      </c>
      <c r="C6" s="9">
        <v>45000</v>
      </c>
      <c r="D6" s="10" t="s">
        <v>224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ht="18" x14ac:dyDescent="0.4">
      <c r="A7" s="46">
        <v>4</v>
      </c>
      <c r="B7" s="41" t="s">
        <v>204</v>
      </c>
      <c r="C7" s="8" t="s">
        <v>223</v>
      </c>
      <c r="D7" s="11">
        <v>72000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x14ac:dyDescent="0.4">
      <c r="A8" s="46">
        <v>5</v>
      </c>
      <c r="B8" s="41" t="s">
        <v>205</v>
      </c>
      <c r="C8" s="8" t="s">
        <v>223</v>
      </c>
      <c r="D8" s="11">
        <v>200000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x14ac:dyDescent="0.4">
      <c r="A9" s="46">
        <v>6</v>
      </c>
      <c r="B9" s="41" t="s">
        <v>226</v>
      </c>
      <c r="C9" s="8" t="s">
        <v>223</v>
      </c>
      <c r="D9" s="11">
        <v>3000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4">
      <c r="A10" s="46">
        <v>7</v>
      </c>
      <c r="B10" s="41" t="s">
        <v>227</v>
      </c>
      <c r="C10" s="9">
        <v>6000</v>
      </c>
      <c r="D10" s="10" t="s">
        <v>224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ht="18" x14ac:dyDescent="0.4">
      <c r="A11" s="46">
        <v>8</v>
      </c>
      <c r="B11" s="41" t="s">
        <v>228</v>
      </c>
      <c r="C11" s="9">
        <v>6000</v>
      </c>
      <c r="D11" s="10" t="s">
        <v>224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18" x14ac:dyDescent="0.4">
      <c r="A12" s="46">
        <v>9</v>
      </c>
      <c r="B12" s="41" t="s">
        <v>229</v>
      </c>
      <c r="C12" s="8" t="s">
        <v>223</v>
      </c>
      <c r="D12" s="11">
        <v>9000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4">
      <c r="A13" s="46">
        <v>10</v>
      </c>
      <c r="B13" s="41" t="s">
        <v>206</v>
      </c>
      <c r="C13" s="9">
        <v>12000</v>
      </c>
      <c r="D13" s="10" t="s">
        <v>224</v>
      </c>
      <c r="E13" s="1"/>
      <c r="F13" s="1"/>
      <c r="G13" s="1"/>
      <c r="H13" s="6"/>
      <c r="I13" s="1"/>
      <c r="J13" s="1"/>
      <c r="K13" s="1"/>
      <c r="L13" s="1"/>
      <c r="M13" s="1"/>
      <c r="N13" s="1"/>
      <c r="O13" s="1"/>
      <c r="P13" s="1"/>
      <c r="Q13" s="1"/>
    </row>
    <row r="14" spans="1:18" ht="18" x14ac:dyDescent="0.4">
      <c r="A14" s="46">
        <v>11</v>
      </c>
      <c r="B14" s="41" t="s">
        <v>207</v>
      </c>
      <c r="C14" s="9">
        <v>30000</v>
      </c>
      <c r="D14" s="10" t="s">
        <v>224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18" x14ac:dyDescent="0.4">
      <c r="A15" s="46">
        <v>12</v>
      </c>
      <c r="B15" s="41" t="s">
        <v>208</v>
      </c>
      <c r="C15" s="9">
        <v>5000</v>
      </c>
      <c r="D15" s="10" t="s">
        <v>224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ht="18" x14ac:dyDescent="0.4">
      <c r="A16" s="46">
        <v>13</v>
      </c>
      <c r="B16" s="41" t="s">
        <v>209</v>
      </c>
      <c r="C16" s="9">
        <v>8000</v>
      </c>
      <c r="D16" s="10" t="s">
        <v>224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 ht="18" x14ac:dyDescent="0.4">
      <c r="A17" s="46">
        <v>14</v>
      </c>
      <c r="B17" s="41" t="s">
        <v>210</v>
      </c>
      <c r="C17" s="9">
        <v>2000</v>
      </c>
      <c r="D17" s="10" t="s">
        <v>224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 ht="18" x14ac:dyDescent="0.4">
      <c r="A18" s="46">
        <v>15</v>
      </c>
      <c r="B18" s="41" t="s">
        <v>184</v>
      </c>
      <c r="C18" s="9">
        <v>1500</v>
      </c>
      <c r="D18" s="10" t="s">
        <v>224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ht="18" x14ac:dyDescent="0.4">
      <c r="A19" s="46">
        <v>16</v>
      </c>
      <c r="B19" s="41" t="s">
        <v>211</v>
      </c>
      <c r="C19" s="9">
        <v>2500</v>
      </c>
      <c r="D19" s="10" t="s">
        <v>224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ht="18" x14ac:dyDescent="0.4">
      <c r="A20" s="46">
        <v>17</v>
      </c>
      <c r="B20" s="41" t="s">
        <v>212</v>
      </c>
      <c r="C20" s="8" t="s">
        <v>223</v>
      </c>
      <c r="D20" s="11">
        <v>3000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46">
        <v>18</v>
      </c>
      <c r="B21" s="41" t="s">
        <v>213</v>
      </c>
      <c r="C21" s="9">
        <v>5000</v>
      </c>
      <c r="D21" s="10" t="s">
        <v>224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ht="18" x14ac:dyDescent="0.4">
      <c r="A22" s="46">
        <v>19</v>
      </c>
      <c r="B22" s="41" t="s">
        <v>214</v>
      </c>
      <c r="C22" s="9">
        <v>1200</v>
      </c>
      <c r="D22" s="10" t="s">
        <v>224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ht="18" x14ac:dyDescent="0.4">
      <c r="A23" s="46">
        <v>20</v>
      </c>
      <c r="B23" s="41" t="s">
        <v>215</v>
      </c>
      <c r="C23" s="8" t="s">
        <v>223</v>
      </c>
      <c r="D23" s="11">
        <v>1000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46">
        <v>21</v>
      </c>
      <c r="B24" s="41" t="s">
        <v>216</v>
      </c>
      <c r="C24" s="9">
        <v>2000</v>
      </c>
      <c r="D24" s="10" t="s">
        <v>224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4">
      <c r="A25" s="46">
        <v>22</v>
      </c>
      <c r="B25" s="41" t="s">
        <v>217</v>
      </c>
      <c r="C25" s="8" t="s">
        <v>223</v>
      </c>
      <c r="D25" s="10">
        <v>800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4">
      <c r="A26" s="46">
        <v>23</v>
      </c>
      <c r="B26" s="41" t="s">
        <v>218</v>
      </c>
      <c r="C26" s="9">
        <v>1000</v>
      </c>
      <c r="D26" s="10" t="s">
        <v>224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ht="18" x14ac:dyDescent="0.4">
      <c r="A27" s="46">
        <v>24</v>
      </c>
      <c r="B27" s="41" t="s">
        <v>219</v>
      </c>
      <c r="C27" s="9">
        <v>2500</v>
      </c>
      <c r="D27" s="10" t="s">
        <v>224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ht="18" x14ac:dyDescent="0.4">
      <c r="A28" s="46">
        <v>25</v>
      </c>
      <c r="B28" s="41" t="s">
        <v>220</v>
      </c>
      <c r="C28" s="9">
        <v>4000</v>
      </c>
      <c r="D28" s="10" t="s">
        <v>224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8" ht="18" x14ac:dyDescent="0.4">
      <c r="A29" s="46">
        <v>26</v>
      </c>
      <c r="B29" s="41" t="s">
        <v>221</v>
      </c>
      <c r="C29" s="9">
        <v>3000</v>
      </c>
      <c r="D29" s="10" t="s">
        <v>224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ht="18.5" thickBot="1" x14ac:dyDescent="0.45">
      <c r="A30" s="21"/>
      <c r="B30" s="42"/>
      <c r="C30" s="21"/>
      <c r="D30" s="2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.5" thickBot="1" x14ac:dyDescent="0.45">
      <c r="A31" s="47"/>
      <c r="B31" s="43" t="s">
        <v>222</v>
      </c>
      <c r="C31" s="19">
        <f>SUM(C4:C29)</f>
        <v>288800</v>
      </c>
      <c r="D31" s="20">
        <f>SUM(D7:D25)</f>
        <v>288800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ht="18" x14ac:dyDescent="0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ht="18" x14ac:dyDescent="0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ht="18" x14ac:dyDescent="0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ht="18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ht="18" x14ac:dyDescent="0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ht="18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ht="18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ht="18" x14ac:dyDescent="0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ht="18" x14ac:dyDescent="0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ht="18" x14ac:dyDescent="0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ht="18" x14ac:dyDescent="0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ht="18" x14ac:dyDescent="0.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ht="18" x14ac:dyDescent="0.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ht="18" x14ac:dyDescent="0.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ht="18" x14ac:dyDescent="0.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ht="18" x14ac:dyDescent="0.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ht="18" x14ac:dyDescent="0.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ht="18" x14ac:dyDescent="0.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ht="18" x14ac:dyDescent="0.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ht="18" x14ac:dyDescent="0.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ht="18" x14ac:dyDescent="0.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ht="18" x14ac:dyDescent="0.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ht="18" x14ac:dyDescent="0.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ht="18" x14ac:dyDescent="0.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ht="18" x14ac:dyDescent="0.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ht="18" x14ac:dyDescent="0.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ht="18" x14ac:dyDescent="0.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ht="18" x14ac:dyDescent="0.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ht="18" x14ac:dyDescent="0.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ht="18" x14ac:dyDescent="0.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ht="18" x14ac:dyDescent="0.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ht="18" x14ac:dyDescent="0.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2:18" ht="18" x14ac:dyDescent="0.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2:18" ht="18" x14ac:dyDescent="0.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2:18" ht="18" x14ac:dyDescent="0.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2:18" ht="18" x14ac:dyDescent="0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2:18" ht="18" x14ac:dyDescent="0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2:18" ht="18" x14ac:dyDescent="0.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2:18" ht="18" x14ac:dyDescent="0.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2:18" ht="18" x14ac:dyDescent="0.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2:18" ht="18" x14ac:dyDescent="0.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2:18" ht="18" x14ac:dyDescent="0.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2:18" ht="18" x14ac:dyDescent="0.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2:18" ht="18" x14ac:dyDescent="0.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2:18" ht="18" x14ac:dyDescent="0.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2:18" ht="18" x14ac:dyDescent="0.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2:18" ht="18" x14ac:dyDescent="0.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2:18" ht="18" x14ac:dyDescent="0.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2:18" ht="18" x14ac:dyDescent="0.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2:18" ht="18" x14ac:dyDescent="0.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2:18" ht="18" x14ac:dyDescent="0.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2:18" ht="18" x14ac:dyDescent="0.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2:18" ht="18" x14ac:dyDescent="0.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2:18" ht="18" x14ac:dyDescent="0.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2:18" ht="18" x14ac:dyDescent="0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2:18" ht="18" x14ac:dyDescent="0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2:18" ht="18" x14ac:dyDescent="0.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2:18" ht="18" x14ac:dyDescent="0.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2:18" ht="18" x14ac:dyDescent="0.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2:18" ht="18" x14ac:dyDescent="0.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2:18" ht="18" x14ac:dyDescent="0.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2:18" ht="18" x14ac:dyDescent="0.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2:18" ht="18" x14ac:dyDescent="0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2:18" ht="18" x14ac:dyDescent="0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2:18" ht="18" x14ac:dyDescent="0.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2:18" ht="18" x14ac:dyDescent="0.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2:18" ht="18" x14ac:dyDescent="0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2:18" ht="18" x14ac:dyDescent="0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2:18" ht="18" x14ac:dyDescent="0.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2:18" ht="18" x14ac:dyDescent="0.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2:18" ht="18" x14ac:dyDescent="0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2:18" ht="18" x14ac:dyDescent="0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2:18" ht="18" x14ac:dyDescent="0.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2:18" ht="18" x14ac:dyDescent="0.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2:18" ht="18" x14ac:dyDescent="0.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2:18" ht="18" x14ac:dyDescent="0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2:18" ht="18" x14ac:dyDescent="0.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2:18" ht="18" x14ac:dyDescent="0.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2:18" ht="18" x14ac:dyDescent="0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2:18" ht="18" x14ac:dyDescent="0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2:18" ht="18" x14ac:dyDescent="0.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2:18" ht="18" x14ac:dyDescent="0.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2:18" ht="18" x14ac:dyDescent="0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2:18" ht="18" x14ac:dyDescent="0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2:18" ht="18" x14ac:dyDescent="0.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2:18" ht="18" x14ac:dyDescent="0.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2:18" ht="18" x14ac:dyDescent="0.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2:18" ht="18" x14ac:dyDescent="0.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2:18" ht="18" x14ac:dyDescent="0.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2:18" ht="18" x14ac:dyDescent="0.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2:18" ht="18" x14ac:dyDescent="0.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2:18" ht="18" x14ac:dyDescent="0.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2:18" ht="18" x14ac:dyDescent="0.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2:18" ht="18" x14ac:dyDescent="0.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2:18" ht="18" x14ac:dyDescent="0.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2:18" ht="18" x14ac:dyDescent="0.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2:18" ht="18" x14ac:dyDescent="0.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2:18" ht="18" x14ac:dyDescent="0.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2:18" ht="18" x14ac:dyDescent="0.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2:18" ht="18" x14ac:dyDescent="0.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2:18" ht="18" x14ac:dyDescent="0.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2:18" ht="18" x14ac:dyDescent="0.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2:18" ht="18" x14ac:dyDescent="0.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2:18" ht="18" x14ac:dyDescent="0.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2:18" ht="18" x14ac:dyDescent="0.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2:18" ht="18" x14ac:dyDescent="0.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2:18" ht="18" x14ac:dyDescent="0.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2:18" ht="18" x14ac:dyDescent="0.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2:18" ht="18" x14ac:dyDescent="0.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2:18" ht="18" x14ac:dyDescent="0.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2:18" ht="18" x14ac:dyDescent="0.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2:18" ht="18" x14ac:dyDescent="0.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2:18" ht="18" x14ac:dyDescent="0.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2:18" ht="18" x14ac:dyDescent="0.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2:18" ht="18" x14ac:dyDescent="0.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2:18" ht="18" x14ac:dyDescent="0.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2:18" ht="18" x14ac:dyDescent="0.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2:18" ht="18" x14ac:dyDescent="0.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2:18" ht="18" x14ac:dyDescent="0.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2:18" ht="18" x14ac:dyDescent="0.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2:18" ht="18" x14ac:dyDescent="0.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2:18" ht="18" x14ac:dyDescent="0.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2:18" ht="18" x14ac:dyDescent="0.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2:18" ht="18" x14ac:dyDescent="0.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2:18" ht="18" x14ac:dyDescent="0.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2:18" ht="18" x14ac:dyDescent="0.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2:18" ht="18" x14ac:dyDescent="0.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2:18" ht="18" x14ac:dyDescent="0.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2:18" ht="18" x14ac:dyDescent="0.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2:18" ht="18" x14ac:dyDescent="0.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2:18" ht="18" x14ac:dyDescent="0.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2:18" ht="18" x14ac:dyDescent="0.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2:18" ht="18" x14ac:dyDescent="0.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2:18" ht="18" x14ac:dyDescent="0.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2:18" ht="18" x14ac:dyDescent="0.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2:18" ht="18" x14ac:dyDescent="0.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2:18" ht="18" x14ac:dyDescent="0.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2:18" ht="18" x14ac:dyDescent="0.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2:18" ht="18" x14ac:dyDescent="0.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2:18" ht="18" x14ac:dyDescent="0.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2:18" ht="18" x14ac:dyDescent="0.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2:18" ht="18" x14ac:dyDescent="0.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2:18" ht="18" x14ac:dyDescent="0.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2:18" ht="18" x14ac:dyDescent="0.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2:18" ht="18" x14ac:dyDescent="0.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2:18" ht="18" x14ac:dyDescent="0.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2:18" ht="18" x14ac:dyDescent="0.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2:18" ht="18" x14ac:dyDescent="0.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2:18" ht="18" x14ac:dyDescent="0.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2:18" ht="18" x14ac:dyDescent="0.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2:18" ht="18" x14ac:dyDescent="0.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2:18" ht="18" x14ac:dyDescent="0.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2:18" ht="18" x14ac:dyDescent="0.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2:18" ht="18" x14ac:dyDescent="0.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2:18" ht="18" x14ac:dyDescent="0.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2:18" ht="18" x14ac:dyDescent="0.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2:18" ht="18" x14ac:dyDescent="0.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2:18" ht="18" x14ac:dyDescent="0.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2:18" ht="18" x14ac:dyDescent="0.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2:18" ht="18" x14ac:dyDescent="0.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2:18" ht="18" x14ac:dyDescent="0.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2:18" ht="18" x14ac:dyDescent="0.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2:18" ht="18" x14ac:dyDescent="0.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2:18" ht="18" x14ac:dyDescent="0.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2:18" ht="18" x14ac:dyDescent="0.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2:18" ht="18" x14ac:dyDescent="0.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2:18" ht="18" x14ac:dyDescent="0.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2:18" ht="18" x14ac:dyDescent="0.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2:18" ht="18" x14ac:dyDescent="0.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2:18" ht="18" x14ac:dyDescent="0.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2:18" ht="18" x14ac:dyDescent="0.4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2:18" ht="18" x14ac:dyDescent="0.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2:18" ht="18" x14ac:dyDescent="0.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2:18" ht="18" x14ac:dyDescent="0.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2:18" ht="18" x14ac:dyDescent="0.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2:18" ht="18" x14ac:dyDescent="0.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2:18" ht="18" x14ac:dyDescent="0.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2:18" ht="18" x14ac:dyDescent="0.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2:18" ht="18" x14ac:dyDescent="0.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2:18" ht="18" x14ac:dyDescent="0.4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2:18" ht="18" x14ac:dyDescent="0.4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2:18" ht="18" x14ac:dyDescent="0.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2:18" ht="18" x14ac:dyDescent="0.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2:18" ht="18" x14ac:dyDescent="0.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2:18" ht="18" x14ac:dyDescent="0.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2:18" ht="18" x14ac:dyDescent="0.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2:18" ht="18" x14ac:dyDescent="0.4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2:18" ht="18" x14ac:dyDescent="0.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2:18" ht="18" x14ac:dyDescent="0.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2:18" ht="18" x14ac:dyDescent="0.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2:18" ht="18" x14ac:dyDescent="0.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2:18" ht="18" x14ac:dyDescent="0.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2:18" ht="18" x14ac:dyDescent="0.4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2:18" ht="18" x14ac:dyDescent="0.4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2:18" ht="18" x14ac:dyDescent="0.4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2:18" ht="18" x14ac:dyDescent="0.4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2:18" ht="18" x14ac:dyDescent="0.4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2:18" ht="18" x14ac:dyDescent="0.4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2:18" ht="18" x14ac:dyDescent="0.4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2:18" ht="18" x14ac:dyDescent="0.4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2:18" ht="18" x14ac:dyDescent="0.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2:18" ht="18" x14ac:dyDescent="0.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2:18" ht="18" x14ac:dyDescent="0.4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2:18" ht="18" x14ac:dyDescent="0.4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2:18" ht="18" x14ac:dyDescent="0.4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2:18" ht="18" x14ac:dyDescent="0.4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2:18" ht="18" x14ac:dyDescent="0.4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2:18" ht="18" x14ac:dyDescent="0.4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2:18" ht="18" x14ac:dyDescent="0.4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2:18" ht="18" x14ac:dyDescent="0.4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2:18" ht="18" x14ac:dyDescent="0.4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2:18" ht="18" x14ac:dyDescent="0.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2:18" ht="18" x14ac:dyDescent="0.4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2:18" ht="18" x14ac:dyDescent="0.4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2:18" ht="18" x14ac:dyDescent="0.4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2:18" ht="18" x14ac:dyDescent="0.4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2:18" ht="18" x14ac:dyDescent="0.4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2:18" ht="18" x14ac:dyDescent="0.4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2:18" ht="18" x14ac:dyDescent="0.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2:18" ht="18" x14ac:dyDescent="0.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2:18" ht="18" x14ac:dyDescent="0.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2:18" ht="18" x14ac:dyDescent="0.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2:18" ht="18" x14ac:dyDescent="0.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2:18" ht="18" x14ac:dyDescent="0.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2:18" ht="18" x14ac:dyDescent="0.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2:18" ht="18" x14ac:dyDescent="0.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2:18" ht="18" x14ac:dyDescent="0.4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2:18" ht="18" x14ac:dyDescent="0.4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2:18" ht="18" x14ac:dyDescent="0.4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2:18" ht="18" x14ac:dyDescent="0.4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2:18" ht="18" x14ac:dyDescent="0.4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2:18" ht="18" x14ac:dyDescent="0.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2:18" ht="18" x14ac:dyDescent="0.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2:18" ht="18" x14ac:dyDescent="0.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2:18" ht="18" x14ac:dyDescent="0.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2:18" ht="18" x14ac:dyDescent="0.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2:18" ht="18" x14ac:dyDescent="0.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2:18" ht="18" x14ac:dyDescent="0.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2:18" ht="18" x14ac:dyDescent="0.4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2:18" ht="18" x14ac:dyDescent="0.4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2:18" ht="18" x14ac:dyDescent="0.4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2:18" ht="18" x14ac:dyDescent="0.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2:18" ht="18" x14ac:dyDescent="0.4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2:18" ht="18" x14ac:dyDescent="0.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2:18" ht="18" x14ac:dyDescent="0.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2:18" ht="18" x14ac:dyDescent="0.4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2:18" ht="18" x14ac:dyDescent="0.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2:18" ht="18" x14ac:dyDescent="0.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2:18" ht="18" x14ac:dyDescent="0.4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2:18" ht="18" x14ac:dyDescent="0.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2:18" ht="18" x14ac:dyDescent="0.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2:18" ht="18" x14ac:dyDescent="0.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2:18" ht="18" x14ac:dyDescent="0.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2:18" ht="18" x14ac:dyDescent="0.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2:18" ht="18" x14ac:dyDescent="0.4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2:18" ht="18" x14ac:dyDescent="0.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2:18" ht="18" x14ac:dyDescent="0.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2:18" ht="18" x14ac:dyDescent="0.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2:18" ht="18" x14ac:dyDescent="0.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2:18" ht="18" x14ac:dyDescent="0.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2:18" ht="18" x14ac:dyDescent="0.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2:18" ht="18" x14ac:dyDescent="0.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2:18" ht="18" x14ac:dyDescent="0.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2:18" ht="18" x14ac:dyDescent="0.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2:18" ht="18" x14ac:dyDescent="0.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2:18" ht="18" x14ac:dyDescent="0.4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2:18" ht="18" x14ac:dyDescent="0.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2:18" ht="18" x14ac:dyDescent="0.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2:18" ht="18" x14ac:dyDescent="0.4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2:18" ht="18" x14ac:dyDescent="0.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2:18" ht="18" x14ac:dyDescent="0.4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2:18" ht="18" x14ac:dyDescent="0.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2:18" ht="18" x14ac:dyDescent="0.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2:18" ht="18" x14ac:dyDescent="0.4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2:18" ht="18" x14ac:dyDescent="0.4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2:18" ht="18" x14ac:dyDescent="0.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2:18" ht="18" x14ac:dyDescent="0.4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2:18" ht="18" x14ac:dyDescent="0.4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2:18" ht="18" x14ac:dyDescent="0.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2:18" ht="18" x14ac:dyDescent="0.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2:18" ht="18" x14ac:dyDescent="0.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2:18" ht="18" x14ac:dyDescent="0.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2:18" ht="18" x14ac:dyDescent="0.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2:18" ht="18" x14ac:dyDescent="0.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2:18" ht="18" x14ac:dyDescent="0.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2:18" ht="18" x14ac:dyDescent="0.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2:18" ht="18" x14ac:dyDescent="0.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2:18" ht="18" x14ac:dyDescent="0.4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2:18" ht="18" x14ac:dyDescent="0.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2:18" ht="18" x14ac:dyDescent="0.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2:18" ht="18" x14ac:dyDescent="0.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2:18" ht="18" x14ac:dyDescent="0.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2:18" ht="18" x14ac:dyDescent="0.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2:18" ht="18" x14ac:dyDescent="0.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2:18" ht="18" x14ac:dyDescent="0.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2:18" ht="18" x14ac:dyDescent="0.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2:18" ht="18" x14ac:dyDescent="0.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2:18" ht="18" x14ac:dyDescent="0.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2:18" ht="18" x14ac:dyDescent="0.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2:18" ht="18" x14ac:dyDescent="0.4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2:18" ht="18" x14ac:dyDescent="0.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2:18" ht="18" x14ac:dyDescent="0.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2:18" ht="18" x14ac:dyDescent="0.4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2:18" ht="18" x14ac:dyDescent="0.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2:18" ht="18" x14ac:dyDescent="0.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2:18" ht="18" x14ac:dyDescent="0.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2:18" ht="18" x14ac:dyDescent="0.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2:18" ht="18" x14ac:dyDescent="0.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2:18" ht="18" x14ac:dyDescent="0.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2:18" ht="18" x14ac:dyDescent="0.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2:18" ht="18" x14ac:dyDescent="0.4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2:18" ht="18" x14ac:dyDescent="0.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2:18" ht="18" x14ac:dyDescent="0.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2:18" ht="18" x14ac:dyDescent="0.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2:18" ht="18" x14ac:dyDescent="0.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2:18" ht="18" x14ac:dyDescent="0.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2:18" ht="18" x14ac:dyDescent="0.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2:18" ht="18" x14ac:dyDescent="0.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2:18" ht="18" x14ac:dyDescent="0.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2:18" ht="18" x14ac:dyDescent="0.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2:18" ht="18" x14ac:dyDescent="0.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2B46-9DB7-4C52-8C1D-02E1C6CD0128}">
  <dimension ref="A1:O50"/>
  <sheetViews>
    <sheetView zoomScale="109" workbookViewId="0">
      <selection activeCell="E13" sqref="E13"/>
    </sheetView>
  </sheetViews>
  <sheetFormatPr defaultRowHeight="14.5" x14ac:dyDescent="0.35"/>
  <cols>
    <col min="1" max="1" width="30.54296875" customWidth="1"/>
    <col min="2" max="2" width="14.26953125" customWidth="1"/>
    <col min="3" max="3" width="13.1796875" customWidth="1"/>
    <col min="4" max="4" width="26" customWidth="1"/>
    <col min="5" max="5" width="13.08984375" customWidth="1"/>
    <col min="6" max="6" width="13.7265625" customWidth="1"/>
  </cols>
  <sheetData>
    <row r="1" spans="1:15" ht="18" x14ac:dyDescent="0.4">
      <c r="A1" s="91" t="s">
        <v>230</v>
      </c>
      <c r="B1" s="91"/>
      <c r="C1" s="91"/>
      <c r="D1" s="91"/>
      <c r="E1" s="91"/>
      <c r="F1" s="91"/>
      <c r="G1" s="1"/>
      <c r="H1" s="1"/>
      <c r="I1" s="1"/>
      <c r="J1" s="1"/>
      <c r="K1" s="1"/>
      <c r="L1" s="1"/>
      <c r="M1" s="1"/>
      <c r="N1" s="1"/>
      <c r="O1" s="1"/>
    </row>
    <row r="2" spans="1:15" ht="18.5" thickBot="1" x14ac:dyDescent="0.45">
      <c r="A2" s="93" t="s">
        <v>275</v>
      </c>
      <c r="B2" s="93"/>
      <c r="C2" s="93"/>
      <c r="D2" s="93"/>
      <c r="E2" s="93"/>
      <c r="F2" s="93"/>
      <c r="G2" s="1"/>
      <c r="H2" s="1"/>
      <c r="I2" s="1"/>
      <c r="J2" s="1"/>
      <c r="K2" s="1"/>
      <c r="L2" s="1"/>
      <c r="M2" s="1"/>
      <c r="N2" s="1"/>
      <c r="O2" s="1"/>
    </row>
    <row r="3" spans="1:15" ht="18.5" thickBot="1" x14ac:dyDescent="0.45">
      <c r="A3" s="24" t="s">
        <v>1</v>
      </c>
      <c r="B3" s="25" t="s">
        <v>135</v>
      </c>
      <c r="C3" s="25" t="s">
        <v>135</v>
      </c>
      <c r="D3" s="25" t="s">
        <v>1</v>
      </c>
      <c r="E3" s="25" t="s">
        <v>135</v>
      </c>
      <c r="F3" s="26" t="s">
        <v>135</v>
      </c>
      <c r="G3" s="1"/>
      <c r="H3" s="1"/>
      <c r="I3" s="1"/>
      <c r="J3" s="1"/>
      <c r="K3" s="1"/>
      <c r="L3" s="1"/>
      <c r="M3" s="1"/>
      <c r="N3" s="1"/>
      <c r="O3" s="1"/>
    </row>
    <row r="4" spans="1:15" ht="18" x14ac:dyDescent="0.4">
      <c r="A4" s="49" t="s">
        <v>231</v>
      </c>
      <c r="B4" s="45" t="s">
        <v>242</v>
      </c>
      <c r="C4" s="48" t="s">
        <v>233</v>
      </c>
      <c r="D4" s="48" t="s">
        <v>236</v>
      </c>
      <c r="E4" s="50">
        <v>72000</v>
      </c>
      <c r="F4" s="51"/>
      <c r="G4" s="1"/>
      <c r="H4" s="1"/>
      <c r="I4" s="1"/>
      <c r="J4" s="1"/>
      <c r="K4" s="1"/>
      <c r="L4" s="1"/>
      <c r="M4" s="1"/>
      <c r="N4" s="1"/>
      <c r="O4" s="1"/>
    </row>
    <row r="5" spans="1:15" ht="18.5" thickBot="1" x14ac:dyDescent="0.45">
      <c r="A5" s="12" t="s">
        <v>232</v>
      </c>
      <c r="B5" s="3">
        <v>45000</v>
      </c>
      <c r="C5" s="2"/>
      <c r="D5" s="2" t="s">
        <v>240</v>
      </c>
      <c r="E5" s="34">
        <v>2000</v>
      </c>
      <c r="F5" s="33">
        <v>70000</v>
      </c>
      <c r="G5" s="1"/>
      <c r="H5" s="1"/>
      <c r="I5" s="1"/>
      <c r="J5" s="1"/>
      <c r="K5" s="1"/>
      <c r="L5" s="1"/>
      <c r="M5" s="1"/>
      <c r="N5" s="1"/>
      <c r="O5" s="1"/>
    </row>
    <row r="6" spans="1:15" ht="18.5" thickBot="1" x14ac:dyDescent="0.45">
      <c r="A6" s="12" t="s">
        <v>239</v>
      </c>
      <c r="B6" s="34">
        <v>1000</v>
      </c>
      <c r="C6" s="3">
        <v>44000</v>
      </c>
      <c r="D6" s="2" t="s">
        <v>237</v>
      </c>
      <c r="E6" s="48" t="s">
        <v>238</v>
      </c>
      <c r="F6" s="13" t="s">
        <v>224</v>
      </c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4">
      <c r="A7" s="12" t="s">
        <v>234</v>
      </c>
      <c r="B7" s="48"/>
      <c r="C7" s="3">
        <v>1200</v>
      </c>
      <c r="D7" s="2"/>
      <c r="E7" s="2"/>
      <c r="F7" s="13"/>
      <c r="G7" s="1"/>
      <c r="H7" s="1"/>
      <c r="I7" s="1"/>
      <c r="J7" s="1"/>
      <c r="K7" s="1"/>
      <c r="L7" s="1"/>
      <c r="M7" s="1"/>
      <c r="N7" s="1"/>
      <c r="O7" s="1"/>
    </row>
    <row r="8" spans="1:15" ht="18" x14ac:dyDescent="0.4">
      <c r="A8" s="12" t="s">
        <v>235</v>
      </c>
      <c r="B8" s="2"/>
      <c r="C8" s="3">
        <v>4000</v>
      </c>
      <c r="D8" s="2"/>
      <c r="E8" s="2"/>
      <c r="F8" s="13"/>
      <c r="G8" s="1"/>
      <c r="H8" s="1"/>
      <c r="I8" s="1"/>
      <c r="J8" s="1"/>
      <c r="K8" s="1"/>
      <c r="L8" s="1"/>
      <c r="M8" s="1"/>
      <c r="N8" s="1"/>
      <c r="O8" s="1"/>
    </row>
    <row r="9" spans="1:15" ht="18" x14ac:dyDescent="0.4">
      <c r="A9" s="12" t="s">
        <v>241</v>
      </c>
      <c r="B9" s="2"/>
      <c r="C9" s="3">
        <f>SUM(F5)-SUM(C6:C8)</f>
        <v>20800</v>
      </c>
      <c r="D9" s="2"/>
      <c r="E9" s="2"/>
      <c r="F9" s="13"/>
      <c r="G9" s="1"/>
      <c r="H9" s="1"/>
      <c r="I9" s="1"/>
      <c r="J9" s="1"/>
      <c r="K9" s="1"/>
      <c r="L9" s="1"/>
      <c r="M9" s="1"/>
      <c r="N9" s="1"/>
      <c r="O9" s="1"/>
    </row>
    <row r="10" spans="1:15" ht="18" x14ac:dyDescent="0.4">
      <c r="A10" s="12"/>
      <c r="B10" s="2"/>
      <c r="C10" s="5">
        <v>70000</v>
      </c>
      <c r="D10" s="2"/>
      <c r="E10" s="2"/>
      <c r="F10" s="27">
        <v>70000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ht="18.5" thickBot="1" x14ac:dyDescent="0.45">
      <c r="A11" s="23"/>
      <c r="B11" s="21"/>
      <c r="C11" s="21"/>
      <c r="D11" s="21"/>
      <c r="E11" s="21"/>
      <c r="F11" s="22"/>
      <c r="G11" s="1"/>
      <c r="H11" s="1"/>
      <c r="I11" s="1"/>
      <c r="J11" s="1"/>
      <c r="K11" s="1"/>
      <c r="L11" s="1"/>
      <c r="M11" s="1"/>
      <c r="N11" s="1"/>
      <c r="O11" s="1"/>
    </row>
    <row r="12" spans="1:15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EF44-93A4-40C8-A791-1DB064022AEA}">
  <dimension ref="A1:R69"/>
  <sheetViews>
    <sheetView zoomScale="103" workbookViewId="0">
      <selection activeCell="H6" sqref="H6"/>
    </sheetView>
  </sheetViews>
  <sheetFormatPr defaultRowHeight="14.5" x14ac:dyDescent="0.35"/>
  <cols>
    <col min="1" max="1" width="34.26953125" customWidth="1"/>
    <col min="2" max="2" width="12.54296875" customWidth="1"/>
    <col min="3" max="3" width="12.36328125" customWidth="1"/>
    <col min="4" max="4" width="37.7265625" customWidth="1"/>
    <col min="5" max="5" width="15.36328125" customWidth="1"/>
    <col min="6" max="6" width="12.1796875" customWidth="1"/>
  </cols>
  <sheetData>
    <row r="1" spans="1:18" ht="18" x14ac:dyDescent="0.4">
      <c r="A1" s="91" t="s">
        <v>243</v>
      </c>
      <c r="B1" s="91"/>
      <c r="C1" s="91"/>
      <c r="D1" s="91"/>
      <c r="E1" s="91"/>
      <c r="F1" s="9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5" thickBot="1" x14ac:dyDescent="0.45">
      <c r="A2" s="93" t="s">
        <v>276</v>
      </c>
      <c r="B2" s="93"/>
      <c r="C2" s="93"/>
      <c r="D2" s="93"/>
      <c r="E2" s="93"/>
      <c r="F2" s="9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.5" thickBot="1" x14ac:dyDescent="0.45">
      <c r="A3" s="24" t="s">
        <v>1</v>
      </c>
      <c r="B3" s="25" t="s">
        <v>135</v>
      </c>
      <c r="C3" s="25" t="s">
        <v>135</v>
      </c>
      <c r="D3" s="25" t="s">
        <v>1</v>
      </c>
      <c r="E3" s="25" t="s">
        <v>135</v>
      </c>
      <c r="F3" s="26" t="s">
        <v>135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4">
      <c r="A4" s="49" t="s">
        <v>253</v>
      </c>
      <c r="B4" s="48"/>
      <c r="C4" s="50">
        <v>3000</v>
      </c>
      <c r="D4" s="52" t="s">
        <v>254</v>
      </c>
      <c r="E4" s="53"/>
      <c r="F4" s="54">
        <v>20800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4">
      <c r="A5" s="12" t="s">
        <v>244</v>
      </c>
      <c r="B5" s="2"/>
      <c r="C5" s="3">
        <v>5000</v>
      </c>
      <c r="D5" s="2" t="s">
        <v>249</v>
      </c>
      <c r="E5" s="2"/>
      <c r="F5" s="33">
        <v>3000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4">
      <c r="A6" s="12" t="s">
        <v>245</v>
      </c>
      <c r="B6" s="2"/>
      <c r="C6" s="3">
        <v>8000</v>
      </c>
      <c r="D6" s="2" t="s">
        <v>250</v>
      </c>
      <c r="E6" s="2"/>
      <c r="F6" s="13">
        <v>800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4">
      <c r="A7" s="12" t="s">
        <v>246</v>
      </c>
      <c r="B7" s="2"/>
      <c r="C7" s="3">
        <v>2000</v>
      </c>
      <c r="D7" s="2" t="s">
        <v>255</v>
      </c>
      <c r="E7" s="2"/>
      <c r="F7" s="33">
        <f>SUM(C13)-SUM(F4:F6)</f>
        <v>900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8" x14ac:dyDescent="0.4">
      <c r="A8" s="12" t="s">
        <v>247</v>
      </c>
      <c r="B8" s="2"/>
      <c r="C8" s="3">
        <v>1500</v>
      </c>
      <c r="D8" s="2"/>
      <c r="E8" s="2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ht="18" x14ac:dyDescent="0.4">
      <c r="A9" s="12" t="s">
        <v>248</v>
      </c>
      <c r="B9" s="2"/>
      <c r="C9" s="3">
        <v>2500</v>
      </c>
      <c r="D9" s="2"/>
      <c r="E9" s="2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ht="18" x14ac:dyDescent="0.4">
      <c r="A10" s="12" t="s">
        <v>251</v>
      </c>
      <c r="B10" s="2"/>
      <c r="C10" s="3">
        <v>1000</v>
      </c>
      <c r="D10" s="2"/>
      <c r="E10" s="2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x14ac:dyDescent="0.4">
      <c r="A11" s="12" t="s">
        <v>252</v>
      </c>
      <c r="B11" s="2"/>
      <c r="C11" s="3">
        <v>2500</v>
      </c>
      <c r="D11" s="2"/>
      <c r="E11" s="2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x14ac:dyDescent="0.4">
      <c r="A12" s="12"/>
      <c r="B12" s="2"/>
      <c r="C12" s="2"/>
      <c r="D12" s="2"/>
      <c r="E12" s="2"/>
      <c r="F12" s="13"/>
      <c r="G12" s="1"/>
      <c r="H12" s="1"/>
      <c r="I12" s="1"/>
      <c r="J12" s="1"/>
      <c r="K12" s="1"/>
      <c r="L12" s="1"/>
      <c r="M12" s="1"/>
      <c r="N12" s="1"/>
      <c r="O12" s="1"/>
    </row>
    <row r="13" spans="1:18" ht="18" x14ac:dyDescent="0.4">
      <c r="A13" s="12"/>
      <c r="B13" s="2"/>
      <c r="C13" s="5">
        <f>SUM(C4:C12)</f>
        <v>25500</v>
      </c>
      <c r="D13" s="2"/>
      <c r="E13" s="2"/>
      <c r="F13" s="27">
        <v>25500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.5" thickBot="1" x14ac:dyDescent="0.45">
      <c r="A14" s="23"/>
      <c r="B14" s="21"/>
      <c r="C14" s="21"/>
      <c r="D14" s="21"/>
      <c r="E14" s="21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4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4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4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</sheetData>
  <mergeCells count="2">
    <mergeCell ref="A2:F2"/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1030-ED28-4B3D-A3EA-B101545E96FB}">
  <dimension ref="A1:M39"/>
  <sheetViews>
    <sheetView topLeftCell="A2" zoomScale="110" workbookViewId="0">
      <selection activeCell="J8" sqref="J8"/>
    </sheetView>
  </sheetViews>
  <sheetFormatPr defaultRowHeight="14.5" x14ac:dyDescent="0.35"/>
  <cols>
    <col min="1" max="1" width="20.26953125" customWidth="1"/>
    <col min="2" max="2" width="11.81640625" customWidth="1"/>
    <col min="3" max="3" width="13.1796875" customWidth="1"/>
    <col min="4" max="4" width="17.6328125" customWidth="1"/>
    <col min="5" max="6" width="11.6328125" customWidth="1"/>
    <col min="10" max="10" width="9.90625" bestFit="1" customWidth="1"/>
  </cols>
  <sheetData>
    <row r="1" spans="1:13" ht="18" x14ac:dyDescent="0.4">
      <c r="A1" s="91" t="s">
        <v>269</v>
      </c>
      <c r="B1" s="91"/>
      <c r="C1" s="91"/>
      <c r="D1" s="91"/>
      <c r="E1" s="91"/>
      <c r="F1" s="91"/>
      <c r="G1" s="1"/>
      <c r="H1" s="1"/>
      <c r="I1" s="1"/>
      <c r="J1" s="1"/>
      <c r="K1" s="1"/>
      <c r="L1" s="1"/>
      <c r="M1" s="1"/>
    </row>
    <row r="2" spans="1:13" ht="18.5" thickBot="1" x14ac:dyDescent="0.45">
      <c r="A2" s="94"/>
      <c r="B2" s="94"/>
      <c r="C2" s="94"/>
      <c r="D2" s="94"/>
      <c r="E2" s="94"/>
      <c r="F2" s="94"/>
      <c r="G2" s="1"/>
      <c r="H2" s="1"/>
      <c r="I2" s="1"/>
      <c r="J2" s="1"/>
      <c r="K2" s="1"/>
      <c r="L2" s="1"/>
      <c r="M2" s="1"/>
    </row>
    <row r="3" spans="1:13" ht="18.5" thickBot="1" x14ac:dyDescent="0.45">
      <c r="A3" s="24" t="s">
        <v>270</v>
      </c>
      <c r="B3" s="25" t="s">
        <v>135</v>
      </c>
      <c r="C3" s="25" t="s">
        <v>135</v>
      </c>
      <c r="D3" s="25" t="s">
        <v>271</v>
      </c>
      <c r="E3" s="25" t="s">
        <v>135</v>
      </c>
      <c r="F3" s="26" t="s">
        <v>135</v>
      </c>
      <c r="G3" s="1"/>
      <c r="H3" s="1"/>
      <c r="I3" s="1"/>
      <c r="J3" s="1"/>
      <c r="K3" s="1"/>
      <c r="L3" s="1"/>
      <c r="M3" s="1"/>
    </row>
    <row r="4" spans="1:13" ht="18" x14ac:dyDescent="0.4">
      <c r="A4" s="49" t="s">
        <v>259</v>
      </c>
      <c r="B4" s="50">
        <v>200000</v>
      </c>
      <c r="C4" s="48"/>
      <c r="D4" s="48" t="s">
        <v>263</v>
      </c>
      <c r="E4" s="48"/>
      <c r="F4" s="56">
        <v>30000</v>
      </c>
      <c r="G4" s="1"/>
      <c r="H4" s="1"/>
      <c r="I4" s="1"/>
      <c r="J4" s="1"/>
      <c r="K4" s="1"/>
      <c r="L4" s="1"/>
      <c r="M4" s="1"/>
    </row>
    <row r="5" spans="1:13" ht="18" x14ac:dyDescent="0.4">
      <c r="A5" s="12" t="s">
        <v>273</v>
      </c>
      <c r="B5" s="2">
        <v>900</v>
      </c>
      <c r="C5" s="2"/>
      <c r="D5" s="2" t="s">
        <v>264</v>
      </c>
      <c r="E5" s="2"/>
      <c r="F5" s="33">
        <v>12000</v>
      </c>
      <c r="G5" s="1"/>
      <c r="H5" s="1"/>
      <c r="I5" s="1"/>
      <c r="J5" s="1"/>
      <c r="K5" s="1"/>
      <c r="L5" s="1"/>
      <c r="M5" s="1"/>
    </row>
    <row r="6" spans="1:13" ht="18" x14ac:dyDescent="0.4">
      <c r="A6" s="12"/>
      <c r="B6" s="3">
        <v>199100</v>
      </c>
      <c r="C6" s="2"/>
      <c r="D6" s="2" t="s">
        <v>272</v>
      </c>
      <c r="E6" s="58"/>
      <c r="F6" s="33"/>
      <c r="G6" s="1"/>
      <c r="H6" s="1"/>
      <c r="I6" s="1"/>
      <c r="J6" s="1"/>
      <c r="K6" s="1"/>
      <c r="L6" s="1"/>
      <c r="M6" s="1"/>
    </row>
    <row r="7" spans="1:13" ht="18.5" thickBot="1" x14ac:dyDescent="0.45">
      <c r="A7" s="12" t="s">
        <v>274</v>
      </c>
      <c r="B7" s="34">
        <v>5000</v>
      </c>
      <c r="C7" s="3">
        <v>194100</v>
      </c>
      <c r="D7" s="37" t="s">
        <v>265</v>
      </c>
      <c r="E7" s="3">
        <v>6000</v>
      </c>
      <c r="F7" s="59"/>
      <c r="G7" s="1"/>
      <c r="H7" s="1"/>
      <c r="I7" s="1"/>
      <c r="J7" s="1"/>
      <c r="K7" s="1"/>
      <c r="L7" s="1"/>
      <c r="M7" s="1"/>
    </row>
    <row r="8" spans="1:13" ht="18.5" thickBot="1" x14ac:dyDescent="0.45">
      <c r="A8" s="12" t="s">
        <v>260</v>
      </c>
      <c r="B8" s="48"/>
      <c r="C8" s="2"/>
      <c r="D8" s="37" t="s">
        <v>266</v>
      </c>
      <c r="E8" s="34">
        <v>6000</v>
      </c>
      <c r="F8" s="59">
        <v>12000</v>
      </c>
      <c r="G8" s="1"/>
      <c r="H8" s="1"/>
      <c r="I8" s="1"/>
      <c r="J8" s="1"/>
      <c r="K8" s="1"/>
      <c r="L8" s="1"/>
      <c r="M8" s="1"/>
    </row>
    <row r="9" spans="1:13" ht="18" x14ac:dyDescent="0.4">
      <c r="A9" s="12" t="s">
        <v>261</v>
      </c>
      <c r="B9" s="3">
        <v>3000</v>
      </c>
      <c r="C9" s="3"/>
      <c r="D9" s="2" t="s">
        <v>267</v>
      </c>
      <c r="E9" s="48"/>
      <c r="F9" s="33">
        <v>43300</v>
      </c>
      <c r="G9" s="1"/>
      <c r="H9" s="1"/>
      <c r="I9" s="1"/>
      <c r="J9" s="1"/>
      <c r="K9" s="1"/>
      <c r="L9" s="1"/>
      <c r="M9" s="1"/>
    </row>
    <row r="10" spans="1:13" ht="18.5" thickBot="1" x14ac:dyDescent="0.45">
      <c r="A10" s="12" t="s">
        <v>262</v>
      </c>
      <c r="B10" s="34">
        <v>9000</v>
      </c>
      <c r="C10" s="3">
        <v>12000</v>
      </c>
      <c r="D10" s="2" t="s">
        <v>268</v>
      </c>
      <c r="E10" s="2"/>
      <c r="F10" s="33">
        <v>108800</v>
      </c>
      <c r="G10" s="1"/>
      <c r="H10" s="1"/>
      <c r="I10" s="1"/>
      <c r="J10" s="1"/>
      <c r="K10" s="1"/>
      <c r="L10" s="1"/>
      <c r="M10" s="1"/>
    </row>
    <row r="11" spans="1:13" ht="18" x14ac:dyDescent="0.4">
      <c r="A11" s="12"/>
      <c r="B11" s="48"/>
      <c r="C11" s="2"/>
      <c r="D11" s="2"/>
      <c r="E11" s="2"/>
      <c r="F11" s="13"/>
      <c r="G11" s="1"/>
      <c r="H11" s="1"/>
      <c r="I11" s="1"/>
      <c r="J11" s="1"/>
      <c r="K11" s="1"/>
      <c r="L11" s="1"/>
      <c r="M11" s="1"/>
    </row>
    <row r="12" spans="1:13" ht="18" x14ac:dyDescent="0.4">
      <c r="A12" s="12"/>
      <c r="B12" s="2"/>
      <c r="C12" s="5">
        <f>SUM(C7:C10)</f>
        <v>206100</v>
      </c>
      <c r="D12" s="2"/>
      <c r="E12" s="2"/>
      <c r="F12" s="27">
        <f>SUM(F4:F10)</f>
        <v>206100</v>
      </c>
      <c r="G12" s="1"/>
      <c r="H12" s="1"/>
      <c r="I12" s="1"/>
      <c r="J12" s="1"/>
      <c r="K12" s="1"/>
      <c r="L12" s="1"/>
      <c r="M12" s="1"/>
    </row>
    <row r="13" spans="1:13" ht="18.5" thickBot="1" x14ac:dyDescent="0.45">
      <c r="A13" s="23"/>
      <c r="B13" s="21"/>
      <c r="C13" s="21"/>
      <c r="D13" s="21"/>
      <c r="E13" s="21"/>
      <c r="F13" s="22"/>
      <c r="G13" s="1"/>
      <c r="H13" s="1"/>
      <c r="I13" s="1"/>
      <c r="J13" s="6"/>
      <c r="K13" s="1"/>
      <c r="L13" s="1"/>
      <c r="M13" s="1"/>
    </row>
    <row r="14" spans="1:13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mergeCells count="2">
    <mergeCell ref="A2:F2"/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ECCB-EBE4-4BF8-AF6E-3A6159FDA9A4}">
  <dimension ref="A1:R494"/>
  <sheetViews>
    <sheetView tabSelected="1" topLeftCell="A28" zoomScale="67" zoomScaleNormal="110" workbookViewId="0">
      <selection activeCell="E35" sqref="E35"/>
    </sheetView>
  </sheetViews>
  <sheetFormatPr defaultRowHeight="14.5" x14ac:dyDescent="0.35"/>
  <cols>
    <col min="1" max="1" width="41.1796875" customWidth="1"/>
    <col min="2" max="2" width="75.81640625" customWidth="1"/>
    <col min="3" max="3" width="91.36328125" customWidth="1"/>
    <col min="5" max="5" width="18.7265625" customWidth="1"/>
    <col min="6" max="6" width="12.54296875" customWidth="1"/>
  </cols>
  <sheetData>
    <row r="1" spans="1:18" ht="18" x14ac:dyDescent="0.4">
      <c r="A1" s="89" t="s">
        <v>278</v>
      </c>
      <c r="B1" s="89"/>
      <c r="C1" s="81" t="s">
        <v>282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x14ac:dyDescent="0.4">
      <c r="A2" s="90" t="s">
        <v>279</v>
      </c>
      <c r="B2" s="90"/>
      <c r="C2" s="82"/>
      <c r="D2" s="1"/>
      <c r="E2" s="91" t="s">
        <v>294</v>
      </c>
      <c r="F2" s="9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" x14ac:dyDescent="0.4">
      <c r="A3" s="79" t="s">
        <v>280</v>
      </c>
      <c r="B3" s="80" t="s">
        <v>281</v>
      </c>
      <c r="C3" s="61"/>
      <c r="D3" s="1"/>
      <c r="E3" s="1" t="s">
        <v>272</v>
      </c>
      <c r="F3" s="6">
        <v>12000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4">
      <c r="A4" s="61"/>
      <c r="B4" s="62"/>
      <c r="C4" s="63" t="s">
        <v>297</v>
      </c>
      <c r="D4" s="1"/>
      <c r="E4" s="1" t="s">
        <v>295</v>
      </c>
      <c r="F4" s="6">
        <v>43300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4">
      <c r="A5" s="64" t="s">
        <v>283</v>
      </c>
      <c r="B5" s="65">
        <v>164100</v>
      </c>
      <c r="C5" s="63" t="s">
        <v>298</v>
      </c>
      <c r="D5" s="1"/>
      <c r="E5" s="1" t="s">
        <v>296</v>
      </c>
      <c r="F5" s="6">
        <v>108800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4">
      <c r="A6" s="64" t="s">
        <v>293</v>
      </c>
      <c r="B6" s="65">
        <v>12000</v>
      </c>
      <c r="C6" s="63" t="s">
        <v>309</v>
      </c>
      <c r="D6" s="1"/>
      <c r="E6" s="57" t="s">
        <v>222</v>
      </c>
      <c r="F6" s="60">
        <f>SUM(F3:F5)</f>
        <v>164100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4">
      <c r="A7" s="66" t="s">
        <v>284</v>
      </c>
      <c r="B7" s="67">
        <f>B5/B6</f>
        <v>13.675000000000001</v>
      </c>
      <c r="C7" s="6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x14ac:dyDescent="0.4">
      <c r="A8" s="79" t="s">
        <v>285</v>
      </c>
      <c r="B8" s="80" t="s">
        <v>286</v>
      </c>
      <c r="C8" s="63"/>
      <c r="D8" s="1"/>
      <c r="E8" s="91" t="s">
        <v>293</v>
      </c>
      <c r="F8" s="9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x14ac:dyDescent="0.4">
      <c r="A9" s="63"/>
      <c r="B9" s="62"/>
      <c r="C9" s="63" t="s">
        <v>308</v>
      </c>
      <c r="D9" s="1"/>
      <c r="E9" s="1" t="s">
        <v>260</v>
      </c>
      <c r="F9" s="6">
        <v>12000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4">
      <c r="A10" s="64" t="s">
        <v>292</v>
      </c>
      <c r="B10" s="65">
        <v>164100</v>
      </c>
      <c r="C10" s="63" t="s">
        <v>314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x14ac:dyDescent="0.4">
      <c r="A11" s="64" t="s">
        <v>293</v>
      </c>
      <c r="B11" s="65">
        <v>12000</v>
      </c>
      <c r="C11" s="63" t="s">
        <v>310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x14ac:dyDescent="0.4">
      <c r="A12" s="66" t="s">
        <v>287</v>
      </c>
      <c r="B12" s="67">
        <f>B10/B11</f>
        <v>13.675000000000001</v>
      </c>
      <c r="C12" s="6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4">
      <c r="A13" s="83" t="s">
        <v>299</v>
      </c>
      <c r="B13" s="84" t="s">
        <v>302</v>
      </c>
      <c r="C13" s="6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x14ac:dyDescent="0.4">
      <c r="A14" s="69"/>
      <c r="B14" s="70"/>
      <c r="C14" s="63" t="s">
        <v>311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4">
      <c r="A15" s="71" t="s">
        <v>300</v>
      </c>
      <c r="B15" s="72">
        <v>152100</v>
      </c>
      <c r="C15" s="63" t="s">
        <v>312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4">
      <c r="A16" s="71" t="s">
        <v>293</v>
      </c>
      <c r="B16" s="72">
        <v>12000</v>
      </c>
      <c r="C16" s="63" t="s">
        <v>313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73" t="s">
        <v>301</v>
      </c>
      <c r="B17" s="74">
        <f>B15/B16</f>
        <v>12.675000000000001</v>
      </c>
      <c r="C17" s="6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85" t="s">
        <v>303</v>
      </c>
      <c r="B18" s="86" t="s">
        <v>288</v>
      </c>
      <c r="C18" s="6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4">
      <c r="A19" s="63"/>
      <c r="B19" s="62"/>
      <c r="C19" s="63" t="s">
        <v>315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4">
      <c r="A20" s="64" t="s">
        <v>289</v>
      </c>
      <c r="B20" s="65">
        <v>12000</v>
      </c>
      <c r="C20" s="63" t="s">
        <v>316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64" t="s">
        <v>291</v>
      </c>
      <c r="B21" s="65">
        <v>194100</v>
      </c>
      <c r="C21" s="63" t="s">
        <v>317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4">
      <c r="A22" s="66" t="s">
        <v>290</v>
      </c>
      <c r="B22" s="76">
        <f>B20/B21</f>
        <v>6.1823802163833076E-2</v>
      </c>
      <c r="C22" s="6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x14ac:dyDescent="0.4">
      <c r="A23" s="87" t="s">
        <v>304</v>
      </c>
      <c r="B23" s="88" t="s">
        <v>305</v>
      </c>
      <c r="C23" s="6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62"/>
      <c r="B24" s="62"/>
      <c r="C24" s="63" t="s">
        <v>318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4">
      <c r="A25" s="71" t="s">
        <v>289</v>
      </c>
      <c r="B25" s="65">
        <v>12000</v>
      </c>
      <c r="C25" s="63" t="s">
        <v>319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4">
      <c r="A26" s="71" t="s">
        <v>306</v>
      </c>
      <c r="B26" s="65">
        <v>194100</v>
      </c>
      <c r="C26" s="63" t="s">
        <v>321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73" t="s">
        <v>331</v>
      </c>
      <c r="B27" s="75">
        <v>5.8000000000000003E-2</v>
      </c>
      <c r="C27" s="6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88" t="s">
        <v>307</v>
      </c>
      <c r="B28" s="88" t="s">
        <v>322</v>
      </c>
      <c r="C28" s="6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62"/>
      <c r="B29" s="62"/>
      <c r="C29" s="63" t="s">
        <v>326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4">
      <c r="A30" s="71" t="s">
        <v>323</v>
      </c>
      <c r="B30" s="65">
        <v>70000</v>
      </c>
      <c r="C30" s="63" t="s">
        <v>332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.5" x14ac:dyDescent="0.45">
      <c r="A31" s="71" t="s">
        <v>324</v>
      </c>
      <c r="B31" s="65">
        <v>206100</v>
      </c>
      <c r="C31" s="63" t="s">
        <v>341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A32" s="73" t="s">
        <v>325</v>
      </c>
      <c r="B32" s="75">
        <v>0.34</v>
      </c>
      <c r="C32" s="68" t="s">
        <v>320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x14ac:dyDescent="0.4">
      <c r="A33" s="88" t="s">
        <v>327</v>
      </c>
      <c r="B33" s="88" t="s">
        <v>328</v>
      </c>
      <c r="C33" s="6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4">
      <c r="A34" s="62"/>
      <c r="B34" s="62"/>
      <c r="C34" s="6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4">
      <c r="A35" s="71" t="s">
        <v>329</v>
      </c>
      <c r="B35" s="62"/>
      <c r="C35" s="6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4">
      <c r="A36" s="71" t="s">
        <v>330</v>
      </c>
      <c r="B36" s="62"/>
      <c r="C36" s="6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4">
      <c r="A37" s="73" t="s">
        <v>333</v>
      </c>
      <c r="B37" s="77"/>
      <c r="C37" s="6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" x14ac:dyDescent="0.4">
      <c r="A38" s="88" t="s">
        <v>334</v>
      </c>
      <c r="B38" s="88" t="s">
        <v>335</v>
      </c>
      <c r="C38" s="6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4">
      <c r="A39" s="71"/>
      <c r="B39" s="62"/>
      <c r="C39" s="63" t="s">
        <v>338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x14ac:dyDescent="0.4">
      <c r="A40" s="71" t="s">
        <v>323</v>
      </c>
      <c r="B40" s="65">
        <v>70000</v>
      </c>
      <c r="C40" s="63" t="s">
        <v>339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x14ac:dyDescent="0.4">
      <c r="A41" s="71" t="s">
        <v>336</v>
      </c>
      <c r="B41" s="65">
        <v>148100</v>
      </c>
      <c r="C41" s="63" t="s">
        <v>340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71" t="s">
        <v>337</v>
      </c>
      <c r="B42" s="78">
        <f>B40/B41</f>
        <v>0.47265361242403781</v>
      </c>
      <c r="C42" s="6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4">
      <c r="A43" s="77"/>
      <c r="B43" s="77"/>
      <c r="C43" s="6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</sheetData>
  <mergeCells count="4">
    <mergeCell ref="A1:B1"/>
    <mergeCell ref="A2:B2"/>
    <mergeCell ref="E2:F2"/>
    <mergeCell ref="E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Legders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2026-06-29T04:00:00Z</dcterms:created>
  <dcterms:modified xsi:type="dcterms:W3CDTF">2026-07-16T05:42:51Z</dcterms:modified>
</cp:coreProperties>
</file>