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dfecb005ccab/Financial Statement Preparation and Financial Statement Analysis/"/>
    </mc:Choice>
  </mc:AlternateContent>
  <xr:revisionPtr revIDLastSave="13" documentId="14_{92EB67F1-CB00-4E6C-91D6-BE61F75CE081}" xr6:coauthVersionLast="47" xr6:coauthVersionMax="47" xr10:uidLastSave="{B3479C94-F9B5-41CF-BC01-C3EB18AABEE6}"/>
  <bookViews>
    <workbookView xWindow="-110" yWindow="-110" windowWidth="19420" windowHeight="10300" firstSheet="3" activeTab="7" xr2:uid="{226DAD1E-ECC1-4D1D-BDEB-C405DAA316F3}"/>
  </bookViews>
  <sheets>
    <sheet name="Problems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8" l="1"/>
  <c r="B32" i="8"/>
  <c r="B27" i="8"/>
  <c r="B22" i="8"/>
  <c r="B17" i="8"/>
  <c r="B12" i="8"/>
  <c r="B7" i="8"/>
  <c r="F6" i="7"/>
  <c r="C8" i="5"/>
  <c r="C25" i="4"/>
  <c r="D125" i="3"/>
  <c r="H125" i="3" s="1"/>
  <c r="H123" i="3" s="1"/>
  <c r="D169" i="3"/>
  <c r="H166" i="3"/>
  <c r="H168" i="3"/>
  <c r="D168" i="3"/>
  <c r="D162" i="3"/>
  <c r="H159" i="3"/>
  <c r="H161" i="3"/>
  <c r="D161" i="3"/>
  <c r="D155" i="3"/>
  <c r="H152" i="3"/>
  <c r="H154" i="3"/>
  <c r="D154" i="3"/>
  <c r="H145" i="3"/>
  <c r="H147" i="3"/>
  <c r="D147" i="3"/>
  <c r="D140" i="3"/>
  <c r="H140" i="3" s="1"/>
  <c r="H138" i="3" s="1"/>
  <c r="D133" i="3"/>
  <c r="H133" i="3" s="1"/>
  <c r="H130" i="3" s="1"/>
  <c r="D119" i="3"/>
  <c r="H119" i="3" s="1"/>
  <c r="D112" i="3"/>
  <c r="H112" i="3" s="1"/>
  <c r="H109" i="3" s="1"/>
  <c r="H104" i="3"/>
  <c r="H102" i="3" s="1"/>
  <c r="D104" i="3"/>
  <c r="D97" i="3"/>
  <c r="H95" i="3" s="1"/>
  <c r="H90" i="3"/>
  <c r="H77" i="3"/>
  <c r="D77" i="3"/>
  <c r="D67" i="3"/>
  <c r="D68" i="3"/>
  <c r="H68" i="3"/>
  <c r="D61" i="3"/>
  <c r="H61" i="3" s="1"/>
  <c r="H59" i="3" s="1"/>
  <c r="H54" i="3"/>
  <c r="H52" i="3" s="1"/>
  <c r="D54" i="3"/>
  <c r="D47" i="3"/>
  <c r="D39" i="3"/>
  <c r="H38" i="3" s="1"/>
  <c r="D31" i="3"/>
  <c r="H30" i="3" s="1"/>
  <c r="D62" i="3" l="1"/>
  <c r="H97" i="3"/>
</calcChain>
</file>

<file path=xl/sharedStrings.xml><?xml version="1.0" encoding="utf-8"?>
<sst xmlns="http://schemas.openxmlformats.org/spreadsheetml/2006/main" count="736" uniqueCount="299">
  <si>
    <t>Date</t>
  </si>
  <si>
    <t>Particulars</t>
  </si>
  <si>
    <t>L.F</t>
  </si>
  <si>
    <t>Debit ₹</t>
  </si>
  <si>
    <t>Credit ₹</t>
  </si>
  <si>
    <t>01.04.2026</t>
  </si>
  <si>
    <t>Cash A/C</t>
  </si>
  <si>
    <t>Dr.</t>
  </si>
  <si>
    <t xml:space="preserve">  To Capital A/C</t>
  </si>
  <si>
    <t>(Being Commenced Business with cash)</t>
  </si>
  <si>
    <t>02.04.2026</t>
  </si>
  <si>
    <t>Bank A/C</t>
  </si>
  <si>
    <t xml:space="preserve">  To Cash A/C</t>
  </si>
  <si>
    <t>(Being Deposited Cash into a new bank account)</t>
  </si>
  <si>
    <t>03.04.2026</t>
  </si>
  <si>
    <t>Rent A/C</t>
  </si>
  <si>
    <t xml:space="preserve">  To Bank A/C</t>
  </si>
  <si>
    <t>(Being Paid rent by cheque)</t>
  </si>
  <si>
    <t>04.04.2026</t>
  </si>
  <si>
    <t>Furniture A/c</t>
  </si>
  <si>
    <t>(Purchased furniture for the café for cash)</t>
  </si>
  <si>
    <t>05.04.2026</t>
  </si>
  <si>
    <t>Espresso Machine A/C</t>
  </si>
  <si>
    <t xml:space="preserve">  To Café Equipments A/C</t>
  </si>
  <si>
    <t>(Being purchased espresso machine from café equipments Ltd.on Credit)</t>
  </si>
  <si>
    <t>06.04.2026</t>
  </si>
  <si>
    <t>Stationery A/C</t>
  </si>
  <si>
    <t>(Being Paid Stationery)</t>
  </si>
  <si>
    <t>Purchased A/C</t>
  </si>
  <si>
    <t>(Being Purchased Groceries for cash)</t>
  </si>
  <si>
    <t>08.04.2026</t>
  </si>
  <si>
    <t>10.04.2026</t>
  </si>
  <si>
    <t xml:space="preserve">  To Sales A/C</t>
  </si>
  <si>
    <t>(Being Sold Coffee and snacks for cash)</t>
  </si>
  <si>
    <t>12.04.2026</t>
  </si>
  <si>
    <t>Advertisement A/C</t>
  </si>
  <si>
    <t>(Being Paid for a local magazine feature advertisement)</t>
  </si>
  <si>
    <t>15.04.2026</t>
  </si>
  <si>
    <t>(Being sold coffee and snacks for cash)</t>
  </si>
  <si>
    <t>18.04.2026</t>
  </si>
  <si>
    <t>Electricity bill A/C</t>
  </si>
  <si>
    <t>(Being Paid electricity bill)</t>
  </si>
  <si>
    <t>20.04.2026</t>
  </si>
  <si>
    <t xml:space="preserve">  To Bharat Suppliers A/C</t>
  </si>
  <si>
    <t>(Being Purchased more groceries on credit from Bharat Suppliers)</t>
  </si>
  <si>
    <t>22.04.2026</t>
  </si>
  <si>
    <t xml:space="preserve"> To Sales A/C</t>
  </si>
  <si>
    <t>(Being Cash sales)</t>
  </si>
  <si>
    <t>25.04.2026</t>
  </si>
  <si>
    <t>Bharat Suppliers A/C</t>
  </si>
  <si>
    <t>(Being Paid bharat suppliers ₹8,000 in full settlements)</t>
  </si>
  <si>
    <t>26.04.2026</t>
  </si>
  <si>
    <t>Water Bill A/C</t>
  </si>
  <si>
    <t>(Being paid Water Bill)</t>
  </si>
  <si>
    <t>28.04.2026</t>
  </si>
  <si>
    <t>30.04,2026</t>
  </si>
  <si>
    <t>Salaries A/C</t>
  </si>
  <si>
    <t>(Being Paid Salaries to staff for the month of April)</t>
  </si>
  <si>
    <t>01.05.2026</t>
  </si>
  <si>
    <t>(Being Paid shop rent for May by Cheque)</t>
  </si>
  <si>
    <t>03.05.2026</t>
  </si>
  <si>
    <t>(Purchased groceries for cash)</t>
  </si>
  <si>
    <t>05.05.2026</t>
  </si>
  <si>
    <t>Café Equipments A/C</t>
  </si>
  <si>
    <t>(Being Café Equipments Ltd.Against oir dues)</t>
  </si>
  <si>
    <t>08.05.2026</t>
  </si>
  <si>
    <t>10.05.2026</t>
  </si>
  <si>
    <t xml:space="preserve">Internet bill A/C </t>
  </si>
  <si>
    <t>(Being Paid internet bill for the café)</t>
  </si>
  <si>
    <t>New cultery A/C</t>
  </si>
  <si>
    <t>(Being Paid New Cultery for cash)</t>
  </si>
  <si>
    <t>15.05.2026</t>
  </si>
  <si>
    <t>12.05.2026</t>
  </si>
  <si>
    <t>18.05.2026</t>
  </si>
  <si>
    <t>New microwave oven A/C</t>
  </si>
  <si>
    <t>(Being Purchased a new microwave oven for cash)</t>
  </si>
  <si>
    <t>20.05.2026</t>
  </si>
  <si>
    <t>22.05.2026</t>
  </si>
  <si>
    <t>25.05.2026</t>
  </si>
  <si>
    <t>(Being withdrew cash from bank for office use)</t>
  </si>
  <si>
    <t>28.05.2026</t>
  </si>
  <si>
    <t>Deep Cleaning Service A/C</t>
  </si>
  <si>
    <t>(Paid for a deep cleaning service for the kitchen)</t>
  </si>
  <si>
    <t>30.05.2026</t>
  </si>
  <si>
    <t>Legal Consultation fees A/C</t>
  </si>
  <si>
    <t>(Being Paid for a one-time legal consulation fee)</t>
  </si>
  <si>
    <t>31.05.2026</t>
  </si>
  <si>
    <t>(Being Paid salaries to staff for the month of May)</t>
  </si>
  <si>
    <t>Capital Account</t>
  </si>
  <si>
    <t>Dr.                                                                                                                                                                                                 Cr.</t>
  </si>
  <si>
    <t>J.F</t>
  </si>
  <si>
    <t>Amount ₹</t>
  </si>
  <si>
    <t>Particular</t>
  </si>
  <si>
    <t xml:space="preserve">By Cash A/C </t>
  </si>
  <si>
    <t>By Balance b/d</t>
  </si>
  <si>
    <t>To Balance c/d</t>
  </si>
  <si>
    <t>Cash Account</t>
  </si>
  <si>
    <t>01.06.2026</t>
  </si>
  <si>
    <t>To Capital A/C</t>
  </si>
  <si>
    <t>By Bank A/C</t>
  </si>
  <si>
    <t>By Furinture A/C</t>
  </si>
  <si>
    <t>By Stationery A/C</t>
  </si>
  <si>
    <t>By Purchased A/C</t>
  </si>
  <si>
    <t>To Sales A/C</t>
  </si>
  <si>
    <t>By Advertisement A/C</t>
  </si>
  <si>
    <t>By Electricity Charges A/C</t>
  </si>
  <si>
    <t>By Bharat Suppliers A/C</t>
  </si>
  <si>
    <t>By Water Bill A/C</t>
  </si>
  <si>
    <t>30.04.2026</t>
  </si>
  <si>
    <t>By Salaries A/C</t>
  </si>
  <si>
    <t>By Café Equipments A/C</t>
  </si>
  <si>
    <t>By Internet bill A/C</t>
  </si>
  <si>
    <t>By New Cultery A/C</t>
  </si>
  <si>
    <t>By New Microwave oven A/C</t>
  </si>
  <si>
    <t>By Deep Cleaning A/C</t>
  </si>
  <si>
    <t>By Legal Consultation A/C</t>
  </si>
  <si>
    <t>To Bank A/C</t>
  </si>
  <si>
    <t>By Balance c/d</t>
  </si>
  <si>
    <t>To Balance b/d</t>
  </si>
  <si>
    <t>Bank Account</t>
  </si>
  <si>
    <t>To Cash A/C</t>
  </si>
  <si>
    <t>By Rent A/C</t>
  </si>
  <si>
    <t>Rent Account</t>
  </si>
  <si>
    <t>Furniture Account</t>
  </si>
  <si>
    <t>Espresso Machine Account</t>
  </si>
  <si>
    <t>To Café Equipments A/C</t>
  </si>
  <si>
    <t>Café Equipments Account</t>
  </si>
  <si>
    <t>By Espresso Machine A/C</t>
  </si>
  <si>
    <t>Purchased Account</t>
  </si>
  <si>
    <t>To Bharat Suppliers A/C</t>
  </si>
  <si>
    <t>Sales Account</t>
  </si>
  <si>
    <t>By Cash A/C</t>
  </si>
  <si>
    <t>by Balance b/d</t>
  </si>
  <si>
    <t>Advertisement Account</t>
  </si>
  <si>
    <t>by Balance c/d</t>
  </si>
  <si>
    <t>Water Bill Account</t>
  </si>
  <si>
    <t>Stationery Account</t>
  </si>
  <si>
    <t>Electricity bill Account</t>
  </si>
  <si>
    <t xml:space="preserve"> Bharat Suppliers Account</t>
  </si>
  <si>
    <t>Salaries Account</t>
  </si>
  <si>
    <t>Internet Account</t>
  </si>
  <si>
    <t>New Cultery Account</t>
  </si>
  <si>
    <t>New Microwave Oven A/C</t>
  </si>
  <si>
    <t>Deep Cleaning Service Acount</t>
  </si>
  <si>
    <t>Legal Consultation fees Account</t>
  </si>
  <si>
    <t>Trial Balance as on 31st May 2026</t>
  </si>
  <si>
    <t>SI.NO</t>
  </si>
  <si>
    <t>Name of the Accounts</t>
  </si>
  <si>
    <t>Cash A/c</t>
  </si>
  <si>
    <t>Bank A/c</t>
  </si>
  <si>
    <t>Rent A/c</t>
  </si>
  <si>
    <t>Espresso machine A/c</t>
  </si>
  <si>
    <t>Stationery A/c</t>
  </si>
  <si>
    <t xml:space="preserve">Purchaes A/c </t>
  </si>
  <si>
    <t>Advertisement A/c</t>
  </si>
  <si>
    <t>Electricity Bill A/c</t>
  </si>
  <si>
    <t>Bharat suppliers A/c</t>
  </si>
  <si>
    <t>-</t>
  </si>
  <si>
    <t>Water Bill A/c</t>
  </si>
  <si>
    <t>Salaries A/c</t>
  </si>
  <si>
    <t>Internet Bill A/c</t>
  </si>
  <si>
    <t>Cutlery A/c</t>
  </si>
  <si>
    <t>Cleaning Services A/c</t>
  </si>
  <si>
    <t>Microwave Oven A/c</t>
  </si>
  <si>
    <t>Leagel Consultation Fee A/c</t>
  </si>
  <si>
    <t>Capital A/c</t>
  </si>
  <si>
    <t>Café equipment Ltd A/c</t>
  </si>
  <si>
    <t>Sales A/c</t>
  </si>
  <si>
    <t>Total</t>
  </si>
  <si>
    <t xml:space="preserve">         -</t>
  </si>
  <si>
    <t>Amount₹</t>
  </si>
  <si>
    <t>To Opening Stock</t>
  </si>
  <si>
    <t>By Closing Stock</t>
  </si>
  <si>
    <t>To Gross profit C/d</t>
  </si>
  <si>
    <t>In the Books of Journal Entries of Good Vibes Café for the Monthly ended 31st May 2026</t>
  </si>
  <si>
    <t>Trading Account For the Monthly Ended 31st May 2026</t>
  </si>
  <si>
    <t>Dr.                                                                                                                                    Cr.</t>
  </si>
  <si>
    <t>Profit &amp; Loss For the Monthly Ended 31st May 2026</t>
  </si>
  <si>
    <t>By Gross Profit B/d</t>
  </si>
  <si>
    <t>To Purchased A/C</t>
  </si>
  <si>
    <t>By Sales A/C</t>
  </si>
  <si>
    <t>To Rent A/C</t>
  </si>
  <si>
    <t>To Stationery A/C</t>
  </si>
  <si>
    <t>To Advertisement A/C</t>
  </si>
  <si>
    <t>To Electricity Bill A/C</t>
  </si>
  <si>
    <t>To Water Bill A/C</t>
  </si>
  <si>
    <t>To Salaries A/C</t>
  </si>
  <si>
    <t>To Internet Bill A/C</t>
  </si>
  <si>
    <t>To Cleaning service A/C</t>
  </si>
  <si>
    <t>To Leagel Consultation fee A/C</t>
  </si>
  <si>
    <t>By Net Loss (Tranfer to capital Account)</t>
  </si>
  <si>
    <t>Dr.                                                                                                                                                                                           Cr.</t>
  </si>
  <si>
    <t>Balance Sheet as on 31st May 2026</t>
  </si>
  <si>
    <t>Liabilities</t>
  </si>
  <si>
    <t>Assets</t>
  </si>
  <si>
    <t>Capital</t>
  </si>
  <si>
    <t>Cash</t>
  </si>
  <si>
    <t>Bank</t>
  </si>
  <si>
    <t>Furniture</t>
  </si>
  <si>
    <t>Café Equipment Ltd</t>
  </si>
  <si>
    <t>Microwave Oven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</si>
  <si>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Net Loss</t>
    </r>
  </si>
  <si>
    <t>Current Liabilities</t>
  </si>
  <si>
    <t>Current Liabilities :</t>
  </si>
  <si>
    <t xml:space="preserve">Current Assets :     </t>
  </si>
  <si>
    <t>Espreeso Machine</t>
  </si>
  <si>
    <t>Cultery</t>
  </si>
  <si>
    <t>Ratio Analysis</t>
  </si>
  <si>
    <t>(Complete Ratio Analysis whichever is applicable)</t>
  </si>
  <si>
    <t>Interpretation of results</t>
  </si>
  <si>
    <t>1. Current Ratio</t>
  </si>
  <si>
    <t>Current Assets</t>
  </si>
  <si>
    <t>Current Ratio</t>
  </si>
  <si>
    <t>2. Quick Ratio</t>
  </si>
  <si>
    <t>Quick Assets</t>
  </si>
  <si>
    <t>Quick Ratio</t>
  </si>
  <si>
    <t>3. Cash Ratio</t>
  </si>
  <si>
    <t>Cash and Cash Equivalents</t>
  </si>
  <si>
    <t>Cash Ratio</t>
  </si>
  <si>
    <t>4. Debt-to-Equity Ratio</t>
  </si>
  <si>
    <t>Total Debt</t>
  </si>
  <si>
    <t>Shareholders' Equity</t>
  </si>
  <si>
    <t>Debt-to-Equity Ratio</t>
  </si>
  <si>
    <t>5. Debt-to-Asset Ratio</t>
  </si>
  <si>
    <t>Total Assest</t>
  </si>
  <si>
    <t>Debt-to-Assests Ratio</t>
  </si>
  <si>
    <t>Current Assests / Current Liabilities</t>
  </si>
  <si>
    <t>(Current Assets - Inventory - Prepaid Expenses) / Current Liabilites</t>
  </si>
  <si>
    <t>(Cash + Cash Equivalents) / Current Liabilities</t>
  </si>
  <si>
    <t>Total Debt / Shareholders' Equity</t>
  </si>
  <si>
    <t>Total Debt / Total Assets</t>
  </si>
  <si>
    <t>Ideal ratio is 2:1</t>
  </si>
  <si>
    <t>Ideal ratio is 1:1</t>
  </si>
  <si>
    <t>Ideal ratio is 0.5:1</t>
  </si>
  <si>
    <t>Ideal ratio is &lt;0.1</t>
  </si>
  <si>
    <t>Ideal ratio is &lt; 50 %</t>
  </si>
  <si>
    <t>The firm has ₹22.66 of current assets for every ₹1 of Current Liabilities.</t>
  </si>
  <si>
    <t>This indicates excellent short-term solvency and a very strong ability to meet its current obiligations.</t>
  </si>
  <si>
    <t>The firm has ₹22.66 of Liquid assets for every ₹ 1 of Current Liabilities.</t>
  </si>
  <si>
    <t>This indicates excellent immediate liquidity and a very strong ability to meet short-term obiligations.</t>
  </si>
  <si>
    <t>The firm has ₹22.66 of cash and cash equivalents for every ₹1 of current liabilites.</t>
  </si>
  <si>
    <t>Comfortably</t>
  </si>
  <si>
    <t>Meet all its short-term obligations using only its cash and cash equivalents.</t>
  </si>
  <si>
    <t>The firm has ₹ 0.0365 of debt for every ₹ 1 of shareholders equity.</t>
  </si>
  <si>
    <t>This indicates a very low level of financial average and a strong equity base.</t>
  </si>
  <si>
    <t>The firm has ₹ 0.0352 of debt for every ₹ 1 invested in total assets.</t>
  </si>
  <si>
    <t>The firm finances 3.52% of its assets through debt.</t>
  </si>
  <si>
    <t>Indicates strong financial stability and a low level of financial risk.</t>
  </si>
  <si>
    <t>6. Assest Turnover Ratio</t>
  </si>
  <si>
    <t>Net Sales / Total Assets</t>
  </si>
  <si>
    <t>Ideal ratio is &gt; 2 times</t>
  </si>
  <si>
    <t>Net Sales</t>
  </si>
  <si>
    <t>Total Asssets</t>
  </si>
  <si>
    <t>Assest Turnover Ratio</t>
  </si>
  <si>
    <t>Net Sales / Working Capital</t>
  </si>
  <si>
    <t>Working Capital</t>
  </si>
  <si>
    <t>Working Capital turnover Ratio</t>
  </si>
  <si>
    <t>7. Working Capital Turnover Ratio</t>
  </si>
  <si>
    <t>The firm generates only ₹ 0.071 of net sales for every ₹ 1 invested in total assests.</t>
  </si>
  <si>
    <t>This indicates the business generates sales equal to 7.1% of its total assests.</t>
  </si>
  <si>
    <t>Ideal Ratio is &gt; 5 times.</t>
  </si>
  <si>
    <t>The firm generates only ₹ 0.071 of net sales for every ₹ 1 of working capital.</t>
  </si>
  <si>
    <t>This indicates the business generates sales equal to 9.27% of its working capital.</t>
  </si>
  <si>
    <t>List of Transactions</t>
  </si>
  <si>
    <t>Month of April 2026</t>
  </si>
  <si>
    <t>Apr 01: Commenced business with cash ₹8,00,000.</t>
  </si>
  <si>
    <t>Apr 02: Deposited cash into a new bank account ₹4,50,000.</t>
  </si>
  <si>
    <t>Apr 03: Paid April month's shop rent by cheque ₹30,000.</t>
  </si>
  <si>
    <t>Apr 04: Purchased furniture for the cafe for cash ₹75,000.</t>
  </si>
  <si>
    <t>Apr 05: Purchased an espresso machine from Cafe Equipments Ltd. on credit ₹55,000.</t>
  </si>
  <si>
    <t>Apr 06: Paid for stationery (menus, notepads) ₹2,500.</t>
  </si>
  <si>
    <t>Apr 08: Purchased coffee beans, milk, sugar, etc. (groceries) for cash ₹15,000.</t>
  </si>
  <si>
    <t>Apr 10: Sold coffee and snacks for cash ₹4,800.</t>
  </si>
  <si>
    <t>Apr 12: Paid for a local magazine feature advertisement ₹3,000.</t>
  </si>
  <si>
    <t>Apr 15: Sold coffee and snacks for cash ₹5,500.</t>
  </si>
  <si>
    <t>Apr 18: Paid electricity bill ₹2,200.</t>
  </si>
  <si>
    <t>Apr 20: Purchased more groceries on credit from Bharat Suppliers ₹8,000.</t>
  </si>
  <si>
    <t>Apr 22: Cash sales ₹6,300.</t>
  </si>
  <si>
    <t>Apr 25: Paid Bharat Suppliers ₹8,000 in full settlement.</t>
  </si>
  <si>
    <t>Apr 26: Paid water bill ₹800.</t>
  </si>
  <si>
    <t>Apr 28: Sold coffee and snacks for cash ₹7,100.</t>
  </si>
  <si>
    <t>Apr 30: Paid salaries to staff for the month of April ₹24,000.</t>
  </si>
  <si>
    <t>Month of May 2026</t>
  </si>
  <si>
    <t>May 01: Paid shop rent for May ₹30,000 by cheque.</t>
  </si>
  <si>
    <t>May 03: Purchased groceries for cash ₹16,000.</t>
  </si>
  <si>
    <t>May 05: Paid Cafe Equipments Ltd. ₹30,000 against our dues.</t>
  </si>
  <si>
    <t>May 08: Cash sales ₹8,200.</t>
  </si>
  <si>
    <t>May 10: Paid internet bill for the cafe ₹1,499.</t>
  </si>
  <si>
    <t>May 12: Purchased new cutlery (plates, cups) for cash ₹4,000.</t>
  </si>
  <si>
    <t>May 15: Cash sales ₹9,500.</t>
  </si>
  <si>
    <t>May 18: Purchased a new microwave oven for cash ₹9,800.</t>
  </si>
  <si>
    <t>May 20: Paid electricity bill ₹2,500.</t>
  </si>
  <si>
    <t>May 22: Cash sales ₹8,800.</t>
  </si>
  <si>
    <t>May 25: Withdrew cash from bank for office use ₹10,000.</t>
  </si>
  <si>
    <t>May 28: Paid for a deep cleaning service for the kitchen ₹2,500.</t>
  </si>
  <si>
    <t>May 30: Paid for a one-time legal consultation fee ₹3,000.</t>
  </si>
  <si>
    <t>May 31: Paid salaries to staff for the month of May ₹24,000.</t>
  </si>
  <si>
    <t>The Transactions of Good Vibes Café for the month of April to May 2026 are given below:</t>
  </si>
  <si>
    <t>In the Books of Ledger account of Good Vibes Café for the Monthly ended 31st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</si>
</sst>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0C0C0C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5" xfId="0" applyFont="1" applyBorder="1"/>
    <xf numFmtId="0" fontId="1" fillId="0" borderId="6" xfId="0" applyFont="1" applyBorder="1"/>
    <xf numFmtId="3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3" fontId="1" fillId="0" borderId="9" xfId="0" applyNumberFormat="1" applyFont="1" applyBorder="1"/>
    <xf numFmtId="0" fontId="1" fillId="0" borderId="9" xfId="0" applyFont="1" applyBorder="1"/>
    <xf numFmtId="3" fontId="1" fillId="0" borderId="8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3" fontId="2" fillId="0" borderId="1" xfId="0" applyNumberFormat="1" applyFont="1" applyBorder="1"/>
    <xf numFmtId="3" fontId="1" fillId="0" borderId="7" xfId="0" applyNumberFormat="1" applyFont="1" applyBorder="1"/>
    <xf numFmtId="3" fontId="2" fillId="0" borderId="9" xfId="0" applyNumberFormat="1" applyFont="1" applyBorder="1"/>
    <xf numFmtId="3" fontId="1" fillId="0" borderId="12" xfId="0" applyNumberFormat="1" applyFont="1" applyBorder="1"/>
    <xf numFmtId="3" fontId="1" fillId="0" borderId="11" xfId="0" applyNumberFormat="1" applyFon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2" fillId="0" borderId="1" xfId="0" applyFont="1" applyBorder="1"/>
    <xf numFmtId="0" fontId="2" fillId="0" borderId="9" xfId="0" applyFont="1" applyBorder="1"/>
    <xf numFmtId="0" fontId="2" fillId="0" borderId="0" xfId="0" applyFont="1" applyAlignment="1">
      <alignment horizontal="center"/>
    </xf>
    <xf numFmtId="164" fontId="1" fillId="0" borderId="1" xfId="1" applyNumberFormat="1" applyFont="1" applyBorder="1"/>
    <xf numFmtId="164" fontId="1" fillId="0" borderId="1" xfId="1" applyNumberFormat="1" applyFont="1" applyBorder="1" applyAlignment="1"/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6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3" fontId="1" fillId="0" borderId="17" xfId="0" applyNumberFormat="1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9" xfId="1" applyNumberFormat="1" applyFont="1" applyBorder="1"/>
    <xf numFmtId="164" fontId="1" fillId="0" borderId="9" xfId="1" applyNumberFormat="1" applyFont="1" applyBorder="1" applyAlignment="1">
      <alignment horizontal="center"/>
    </xf>
    <xf numFmtId="164" fontId="2" fillId="0" borderId="11" xfId="1" applyNumberFormat="1" applyFont="1" applyBorder="1"/>
    <xf numFmtId="164" fontId="2" fillId="0" borderId="12" xfId="1" applyNumberFormat="1" applyFont="1" applyBorder="1"/>
    <xf numFmtId="0" fontId="1" fillId="0" borderId="16" xfId="0" applyFont="1" applyBorder="1" applyAlignment="1">
      <alignment horizontal="center"/>
    </xf>
    <xf numFmtId="164" fontId="1" fillId="0" borderId="13" xfId="1" applyNumberFormat="1" applyFont="1" applyBorder="1"/>
    <xf numFmtId="164" fontId="1" fillId="0" borderId="17" xfId="1" applyNumberFormat="1" applyFont="1" applyBorder="1"/>
    <xf numFmtId="0" fontId="1" fillId="0" borderId="21" xfId="0" applyFont="1" applyBorder="1" applyAlignment="1">
      <alignment horizontal="center"/>
    </xf>
    <xf numFmtId="0" fontId="1" fillId="0" borderId="15" xfId="0" applyFont="1" applyBorder="1"/>
    <xf numFmtId="164" fontId="1" fillId="0" borderId="15" xfId="1" applyNumberFormat="1" applyFont="1" applyBorder="1"/>
    <xf numFmtId="164" fontId="1" fillId="0" borderId="22" xfId="1" applyNumberFormat="1" applyFont="1" applyBorder="1"/>
    <xf numFmtId="0" fontId="1" fillId="0" borderId="18" xfId="0" applyFont="1" applyBorder="1"/>
    <xf numFmtId="164" fontId="2" fillId="0" borderId="19" xfId="1" applyNumberFormat="1" applyFont="1" applyBorder="1"/>
    <xf numFmtId="164" fontId="2" fillId="0" borderId="20" xfId="1" applyNumberFormat="1" applyFont="1" applyBorder="1"/>
    <xf numFmtId="164" fontId="1" fillId="0" borderId="11" xfId="1" applyNumberFormat="1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1" fillId="0" borderId="23" xfId="1" applyNumberFormat="1" applyFont="1" applyBorder="1"/>
    <xf numFmtId="164" fontId="1" fillId="0" borderId="24" xfId="1" applyNumberFormat="1" applyFont="1" applyBorder="1"/>
    <xf numFmtId="164" fontId="1" fillId="0" borderId="0" xfId="0" applyNumberFormat="1" applyFont="1"/>
    <xf numFmtId="0" fontId="1" fillId="0" borderId="21" xfId="0" applyFont="1" applyBorder="1"/>
    <xf numFmtId="0" fontId="0" fillId="3" borderId="25" xfId="0" applyFill="1" applyBorder="1" applyAlignment="1">
      <alignment wrapText="1"/>
    </xf>
    <xf numFmtId="0" fontId="1" fillId="3" borderId="26" xfId="0" applyFont="1" applyFill="1" applyBorder="1" applyAlignment="1">
      <alignment wrapText="1"/>
    </xf>
    <xf numFmtId="0" fontId="1" fillId="3" borderId="26" xfId="0" applyFont="1" applyFill="1" applyBorder="1" applyAlignment="1">
      <alignment vertical="center"/>
    </xf>
    <xf numFmtId="0" fontId="0" fillId="3" borderId="26" xfId="0" applyFill="1" applyBorder="1" applyAlignment="1">
      <alignment wrapText="1"/>
    </xf>
    <xf numFmtId="0" fontId="0" fillId="3" borderId="27" xfId="0" applyFill="1" applyBorder="1" applyAlignment="1">
      <alignment wrapText="1"/>
    </xf>
    <xf numFmtId="0" fontId="0" fillId="0" borderId="0" xfId="0" applyAlignment="1">
      <alignment wrapText="1"/>
    </xf>
    <xf numFmtId="0" fontId="2" fillId="4" borderId="25" xfId="0" applyFont="1" applyFill="1" applyBorder="1" applyAlignment="1">
      <alignment horizontal="center" wrapText="1"/>
    </xf>
    <xf numFmtId="0" fontId="0" fillId="4" borderId="27" xfId="0" applyFill="1" applyBorder="1" applyAlignment="1">
      <alignment wrapText="1"/>
    </xf>
    <xf numFmtId="0" fontId="1" fillId="3" borderId="26" xfId="0" applyFont="1" applyFill="1" applyBorder="1" applyAlignment="1">
      <alignment horizontal="right" wrapText="1"/>
    </xf>
    <xf numFmtId="0" fontId="2" fillId="2" borderId="26" xfId="0" applyFont="1" applyFill="1" applyBorder="1" applyAlignment="1">
      <alignment wrapText="1"/>
    </xf>
    <xf numFmtId="0" fontId="1" fillId="3" borderId="27" xfId="0" applyFont="1" applyFill="1" applyBorder="1" applyAlignment="1">
      <alignment horizontal="right" wrapText="1"/>
    </xf>
    <xf numFmtId="3" fontId="1" fillId="3" borderId="26" xfId="0" applyNumberFormat="1" applyFont="1" applyFill="1" applyBorder="1" applyAlignment="1">
      <alignment horizontal="right" wrapText="1"/>
    </xf>
    <xf numFmtId="165" fontId="2" fillId="3" borderId="26" xfId="0" applyNumberFormat="1" applyFont="1" applyFill="1" applyBorder="1" applyAlignment="1">
      <alignment horizontal="right" wrapText="1"/>
    </xf>
    <xf numFmtId="165" fontId="2" fillId="3" borderId="27" xfId="0" applyNumberFormat="1" applyFont="1" applyFill="1" applyBorder="1" applyAlignment="1">
      <alignment horizontal="right" wrapText="1"/>
    </xf>
    <xf numFmtId="3" fontId="1" fillId="5" borderId="26" xfId="0" applyNumberFormat="1" applyFont="1" applyFill="1" applyBorder="1" applyAlignment="1">
      <alignment horizontal="right" wrapText="1"/>
    </xf>
    <xf numFmtId="2" fontId="2" fillId="5" borderId="27" xfId="0" applyNumberFormat="1" applyFont="1" applyFill="1" applyBorder="1" applyAlignment="1">
      <alignment horizontal="right" wrapText="1"/>
    </xf>
    <xf numFmtId="0" fontId="1" fillId="5" borderId="26" xfId="0" applyFont="1" applyFill="1" applyBorder="1" applyAlignment="1">
      <alignment wrapText="1"/>
    </xf>
    <xf numFmtId="0" fontId="0" fillId="5" borderId="26" xfId="0" applyFill="1" applyBorder="1" applyAlignment="1">
      <alignment wrapText="1"/>
    </xf>
    <xf numFmtId="0" fontId="0" fillId="5" borderId="27" xfId="0" applyFill="1" applyBorder="1" applyAlignment="1">
      <alignment wrapText="1"/>
    </xf>
    <xf numFmtId="0" fontId="0" fillId="3" borderId="32" xfId="0" applyFill="1" applyBorder="1" applyAlignment="1">
      <alignment wrapText="1"/>
    </xf>
    <xf numFmtId="2" fontId="2" fillId="3" borderId="27" xfId="0" applyNumberFormat="1" applyFont="1" applyFill="1" applyBorder="1" applyAlignment="1">
      <alignment horizontal="right" wrapText="1"/>
    </xf>
    <xf numFmtId="0" fontId="1" fillId="3" borderId="27" xfId="0" applyFont="1" applyFill="1" applyBorder="1" applyAlignment="1">
      <alignment wrapText="1"/>
    </xf>
    <xf numFmtId="0" fontId="2" fillId="2" borderId="32" xfId="0" applyFont="1" applyFill="1" applyBorder="1" applyAlignment="1">
      <alignment vertical="center"/>
    </xf>
    <xf numFmtId="0" fontId="2" fillId="2" borderId="25" xfId="0" applyFont="1" applyFill="1" applyBorder="1" applyAlignment="1">
      <alignment wrapText="1"/>
    </xf>
    <xf numFmtId="0" fontId="1" fillId="5" borderId="26" xfId="0" applyFont="1" applyFill="1" applyBorder="1" applyAlignment="1">
      <alignment horizontal="right" wrapText="1"/>
    </xf>
    <xf numFmtId="0" fontId="1" fillId="5" borderId="27" xfId="0" applyFont="1" applyFill="1" applyBorder="1" applyAlignment="1">
      <alignment horizontal="right" wrapText="1"/>
    </xf>
    <xf numFmtId="3" fontId="1" fillId="3" borderId="32" xfId="0" applyNumberFormat="1" applyFont="1" applyFill="1" applyBorder="1" applyAlignment="1">
      <alignment horizontal="right" wrapText="1"/>
    </xf>
    <xf numFmtId="2" fontId="2" fillId="3" borderId="30" xfId="0" applyNumberFormat="1" applyFont="1" applyFill="1" applyBorder="1" applyAlignment="1">
      <alignment horizontal="right" wrapText="1"/>
    </xf>
    <xf numFmtId="166" fontId="2" fillId="3" borderId="27" xfId="0" applyNumberFormat="1" applyFont="1" applyFill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/>
    <xf numFmtId="0" fontId="2" fillId="0" borderId="13" xfId="0" applyFont="1" applyBorder="1" applyAlignment="1">
      <alignment horizontal="center"/>
    </xf>
    <xf numFmtId="0" fontId="2" fillId="4" borderId="28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wrapText="1"/>
    </xf>
    <xf numFmtId="0" fontId="4" fillId="4" borderId="31" xfId="0" applyFont="1" applyFill="1" applyBorder="1" applyAlignment="1">
      <alignment horizontal="center" wrapText="1"/>
    </xf>
    <xf numFmtId="0" fontId="4" fillId="4" borderId="30" xfId="0" applyFont="1" applyFill="1" applyBorder="1" applyAlignment="1">
      <alignment horizontal="center" wrapText="1"/>
    </xf>
  </cellXfs>
  <cellStyles count="2">
    <cellStyle name="Comma 2" xfId="1" xr:uid="{76EEAD58-8D58-4E70-914D-C382290E105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496E-5A82-4BA6-B9D0-5B90F43A61C2}">
  <dimension ref="A1:Y564"/>
  <sheetViews>
    <sheetView workbookViewId="0">
      <selection activeCell="A23" sqref="A23"/>
    </sheetView>
  </sheetViews>
  <sheetFormatPr defaultRowHeight="14.5" x14ac:dyDescent="0.35"/>
  <cols>
    <col min="1" max="1" width="102.1796875" customWidth="1"/>
  </cols>
  <sheetData>
    <row r="1" spans="1:25" ht="18" x14ac:dyDescent="0.4">
      <c r="A1" s="27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5" ht="18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x14ac:dyDescent="0.4">
      <c r="A3" s="27" t="s">
        <v>263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x14ac:dyDescent="0.4">
      <c r="A4" s="93" t="s">
        <v>264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x14ac:dyDescent="0.4">
      <c r="A5" s="1" t="s">
        <v>265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x14ac:dyDescent="0.4">
      <c r="A6" s="1" t="s">
        <v>266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x14ac:dyDescent="0.4">
      <c r="A7" s="1" t="s">
        <v>267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x14ac:dyDescent="0.4">
      <c r="A8" s="1" t="s">
        <v>268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x14ac:dyDescent="0.4">
      <c r="A9" s="1" t="s">
        <v>269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x14ac:dyDescent="0.4">
      <c r="A10" s="1" t="s">
        <v>270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x14ac:dyDescent="0.4">
      <c r="A11" s="1" t="s">
        <v>271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x14ac:dyDescent="0.4">
      <c r="A12" s="1" t="s">
        <v>272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x14ac:dyDescent="0.4">
      <c r="A13" s="1" t="s">
        <v>273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x14ac:dyDescent="0.4">
      <c r="A14" s="1" t="s">
        <v>274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x14ac:dyDescent="0.4">
      <c r="A15" s="1" t="s">
        <v>275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x14ac:dyDescent="0.4">
      <c r="A16" s="1" t="s">
        <v>276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x14ac:dyDescent="0.4">
      <c r="A17" s="1" t="s">
        <v>277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x14ac:dyDescent="0.4">
      <c r="A18" s="1" t="s">
        <v>278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x14ac:dyDescent="0.4">
      <c r="A19" s="1" t="s">
        <v>279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x14ac:dyDescent="0.4">
      <c r="A20" s="1" t="s">
        <v>280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x14ac:dyDescent="0.4">
      <c r="A21" s="1" t="s">
        <v>281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x14ac:dyDescent="0.4">
      <c r="A23" s="93" t="s">
        <v>282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x14ac:dyDescent="0.4">
      <c r="A24" s="1" t="s">
        <v>283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x14ac:dyDescent="0.4">
      <c r="A25" s="1" t="s">
        <v>284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x14ac:dyDescent="0.4">
      <c r="A26" s="1" t="s">
        <v>285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x14ac:dyDescent="0.4">
      <c r="A27" s="1" t="s">
        <v>286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x14ac:dyDescent="0.4">
      <c r="A28" s="1" t="s">
        <v>287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x14ac:dyDescent="0.4">
      <c r="A29" s="1" t="s">
        <v>288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x14ac:dyDescent="0.4">
      <c r="A30" s="1" t="s">
        <v>289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x14ac:dyDescent="0.4">
      <c r="A31" s="1" t="s">
        <v>290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x14ac:dyDescent="0.4">
      <c r="A32" s="1" t="s">
        <v>291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x14ac:dyDescent="0.4">
      <c r="A33" s="1" t="s">
        <v>292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x14ac:dyDescent="0.4">
      <c r="A34" s="1" t="s">
        <v>293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x14ac:dyDescent="0.4">
      <c r="A35" s="1" t="s">
        <v>294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x14ac:dyDescent="0.4">
      <c r="A36" s="1" t="s">
        <v>295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x14ac:dyDescent="0.4">
      <c r="A37" s="1" t="s">
        <v>296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B29D-E26C-4FF7-9446-330AF638A190}">
  <dimension ref="A1:Q384"/>
  <sheetViews>
    <sheetView zoomScale="67" workbookViewId="0">
      <selection activeCell="E8" sqref="E8"/>
    </sheetView>
  </sheetViews>
  <sheetFormatPr defaultRowHeight="14.5" x14ac:dyDescent="0.35"/>
  <cols>
    <col min="1" max="1" width="12.7265625" customWidth="1"/>
    <col min="2" max="2" width="76.90625" customWidth="1"/>
    <col min="3" max="3" width="4" customWidth="1"/>
    <col min="5" max="5" width="14" customWidth="1"/>
    <col min="6" max="6" width="11.6328125" customWidth="1"/>
  </cols>
  <sheetData>
    <row r="1" spans="1:17" ht="18" x14ac:dyDescent="0.4">
      <c r="A1" s="94" t="s">
        <v>174</v>
      </c>
      <c r="B1" s="94"/>
      <c r="C1" s="94"/>
      <c r="D1" s="94"/>
      <c r="E1" s="94"/>
      <c r="F1" s="94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.5" thickBot="1" x14ac:dyDescent="0.45">
      <c r="A3" s="2" t="s">
        <v>0</v>
      </c>
      <c r="B3" s="3" t="s">
        <v>1</v>
      </c>
      <c r="C3" s="3"/>
      <c r="D3" s="3" t="s">
        <v>2</v>
      </c>
      <c r="E3" s="3" t="s">
        <v>3</v>
      </c>
      <c r="F3" s="4" t="s">
        <v>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4">
      <c r="A4" s="7" t="s">
        <v>5</v>
      </c>
      <c r="B4" s="8" t="s">
        <v>6</v>
      </c>
      <c r="C4" s="8" t="s">
        <v>7</v>
      </c>
      <c r="D4" s="8"/>
      <c r="E4" s="9">
        <v>800000</v>
      </c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4">
      <c r="A5" s="11"/>
      <c r="B5" s="5" t="s">
        <v>8</v>
      </c>
      <c r="C5" s="5"/>
      <c r="D5" s="5"/>
      <c r="E5" s="5"/>
      <c r="F5" s="12">
        <v>800000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4">
      <c r="A6" s="11"/>
      <c r="B6" s="5" t="s">
        <v>9</v>
      </c>
      <c r="C6" s="5"/>
      <c r="D6" s="5"/>
      <c r="E6" s="5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4">
      <c r="A7" s="11" t="s">
        <v>10</v>
      </c>
      <c r="B7" s="5" t="s">
        <v>11</v>
      </c>
      <c r="C7" s="5" t="s">
        <v>7</v>
      </c>
      <c r="D7" s="5"/>
      <c r="E7" s="6">
        <v>450000</v>
      </c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4">
      <c r="A8" s="11"/>
      <c r="B8" s="5" t="s">
        <v>12</v>
      </c>
      <c r="C8" s="5"/>
      <c r="D8" s="5"/>
      <c r="E8" s="5"/>
      <c r="F8" s="12">
        <v>450000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4">
      <c r="A9" s="11"/>
      <c r="B9" s="5" t="s">
        <v>13</v>
      </c>
      <c r="C9" s="5"/>
      <c r="D9" s="5"/>
      <c r="E9" s="5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4">
      <c r="A10" s="11" t="s">
        <v>14</v>
      </c>
      <c r="B10" s="5" t="s">
        <v>15</v>
      </c>
      <c r="C10" s="5" t="s">
        <v>7</v>
      </c>
      <c r="D10" s="5"/>
      <c r="E10" s="6">
        <v>30000</v>
      </c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4">
      <c r="A11" s="11"/>
      <c r="B11" s="5" t="s">
        <v>16</v>
      </c>
      <c r="C11" s="5"/>
      <c r="D11" s="5"/>
      <c r="E11" s="5"/>
      <c r="F11" s="12">
        <v>30000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4">
      <c r="A12" s="11"/>
      <c r="B12" s="5" t="s">
        <v>17</v>
      </c>
      <c r="C12" s="5"/>
      <c r="D12" s="5"/>
      <c r="E12" s="5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4">
      <c r="A13" s="11" t="s">
        <v>18</v>
      </c>
      <c r="B13" s="5" t="s">
        <v>19</v>
      </c>
      <c r="C13" s="5" t="s">
        <v>7</v>
      </c>
      <c r="D13" s="5"/>
      <c r="E13" s="6">
        <v>75000</v>
      </c>
      <c r="F13" s="1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4">
      <c r="A14" s="11"/>
      <c r="B14" s="5" t="s">
        <v>12</v>
      </c>
      <c r="C14" s="5"/>
      <c r="D14" s="5"/>
      <c r="E14" s="5"/>
      <c r="F14" s="12">
        <v>75000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4">
      <c r="A15" s="11"/>
      <c r="B15" s="5" t="s">
        <v>20</v>
      </c>
      <c r="C15" s="5"/>
      <c r="D15" s="5"/>
      <c r="E15" s="5"/>
      <c r="F15" s="1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4">
      <c r="A16" s="11" t="s">
        <v>21</v>
      </c>
      <c r="B16" s="5" t="s">
        <v>22</v>
      </c>
      <c r="C16" s="5" t="s">
        <v>7</v>
      </c>
      <c r="D16" s="5"/>
      <c r="E16" s="6">
        <v>55000</v>
      </c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4">
      <c r="A17" s="11"/>
      <c r="B17" s="5" t="s">
        <v>23</v>
      </c>
      <c r="C17" s="5"/>
      <c r="D17" s="5"/>
      <c r="E17" s="5"/>
      <c r="F17" s="12">
        <v>55000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4">
      <c r="A18" s="11"/>
      <c r="B18" s="5" t="s">
        <v>24</v>
      </c>
      <c r="C18" s="5"/>
      <c r="D18" s="5"/>
      <c r="E18" s="5"/>
      <c r="F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4">
      <c r="A19" s="11" t="s">
        <v>25</v>
      </c>
      <c r="B19" s="5" t="s">
        <v>26</v>
      </c>
      <c r="C19" s="5" t="s">
        <v>7</v>
      </c>
      <c r="D19" s="5"/>
      <c r="E19" s="6">
        <v>2500</v>
      </c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4">
      <c r="A20" s="11"/>
      <c r="B20" s="5" t="s">
        <v>12</v>
      </c>
      <c r="C20" s="5"/>
      <c r="D20" s="5"/>
      <c r="E20" s="5"/>
      <c r="F20" s="12">
        <v>2500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4">
      <c r="A21" s="11"/>
      <c r="B21" s="5" t="s">
        <v>27</v>
      </c>
      <c r="C21" s="5"/>
      <c r="D21" s="5"/>
      <c r="E21" s="5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4">
      <c r="A22" s="11" t="s">
        <v>30</v>
      </c>
      <c r="B22" s="5" t="s">
        <v>28</v>
      </c>
      <c r="C22" s="5" t="s">
        <v>7</v>
      </c>
      <c r="D22" s="5"/>
      <c r="E22" s="6">
        <v>15000</v>
      </c>
      <c r="F22" s="1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4">
      <c r="A23" s="11"/>
      <c r="B23" s="5" t="s">
        <v>12</v>
      </c>
      <c r="C23" s="5"/>
      <c r="D23" s="5"/>
      <c r="E23" s="5"/>
      <c r="F23" s="12">
        <v>15000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4">
      <c r="A24" s="11"/>
      <c r="B24" s="5" t="s">
        <v>29</v>
      </c>
      <c r="C24" s="5"/>
      <c r="D24" s="5"/>
      <c r="E24" s="5"/>
      <c r="F24" s="1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4">
      <c r="A25" s="11" t="s">
        <v>31</v>
      </c>
      <c r="B25" s="5" t="s">
        <v>6</v>
      </c>
      <c r="C25" s="5" t="s">
        <v>7</v>
      </c>
      <c r="D25" s="5"/>
      <c r="E25" s="6">
        <v>4800</v>
      </c>
      <c r="F25" s="1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4">
      <c r="A26" s="11"/>
      <c r="B26" s="5" t="s">
        <v>32</v>
      </c>
      <c r="C26" s="5"/>
      <c r="D26" s="5"/>
      <c r="E26" s="5"/>
      <c r="F26" s="12">
        <v>4800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4">
      <c r="A27" s="11"/>
      <c r="B27" s="5" t="s">
        <v>33</v>
      </c>
      <c r="C27" s="5"/>
      <c r="D27" s="5"/>
      <c r="E27" s="5"/>
      <c r="F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4">
      <c r="A28" s="11" t="s">
        <v>34</v>
      </c>
      <c r="B28" s="5" t="s">
        <v>35</v>
      </c>
      <c r="C28" s="5" t="s">
        <v>7</v>
      </c>
      <c r="D28" s="5"/>
      <c r="E28" s="6">
        <v>3000</v>
      </c>
      <c r="F28" s="1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4">
      <c r="A29" s="11"/>
      <c r="B29" s="5" t="s">
        <v>12</v>
      </c>
      <c r="C29" s="5"/>
      <c r="D29" s="5"/>
      <c r="E29" s="5"/>
      <c r="F29" s="12">
        <v>3000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4">
      <c r="A30" s="11"/>
      <c r="B30" s="5" t="s">
        <v>36</v>
      </c>
      <c r="C30" s="5"/>
      <c r="D30" s="5"/>
      <c r="E30" s="5"/>
      <c r="F30" s="1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4">
      <c r="A31" s="11" t="s">
        <v>37</v>
      </c>
      <c r="B31" s="5" t="s">
        <v>6</v>
      </c>
      <c r="C31" s="5" t="s">
        <v>7</v>
      </c>
      <c r="D31" s="5"/>
      <c r="E31" s="6">
        <v>5500</v>
      </c>
      <c r="F31" s="1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" x14ac:dyDescent="0.4">
      <c r="A32" s="11"/>
      <c r="B32" s="5" t="s">
        <v>32</v>
      </c>
      <c r="C32" s="5"/>
      <c r="D32" s="5"/>
      <c r="E32" s="5"/>
      <c r="F32" s="12">
        <v>5500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4">
      <c r="A33" s="11"/>
      <c r="B33" s="5" t="s">
        <v>38</v>
      </c>
      <c r="C33" s="5"/>
      <c r="D33" s="5"/>
      <c r="E33" s="5"/>
      <c r="F33" s="1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4">
      <c r="A34" s="11" t="s">
        <v>39</v>
      </c>
      <c r="B34" s="5" t="s">
        <v>40</v>
      </c>
      <c r="C34" s="5" t="s">
        <v>7</v>
      </c>
      <c r="D34" s="5"/>
      <c r="E34" s="6">
        <v>2200</v>
      </c>
      <c r="F34" s="1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4">
      <c r="A35" s="11"/>
      <c r="B35" s="5" t="s">
        <v>12</v>
      </c>
      <c r="C35" s="5"/>
      <c r="D35" s="5"/>
      <c r="E35" s="5"/>
      <c r="F35" s="12">
        <v>2200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4">
      <c r="A36" s="11"/>
      <c r="B36" s="5" t="s">
        <v>41</v>
      </c>
      <c r="C36" s="5"/>
      <c r="D36" s="5"/>
      <c r="E36" s="5"/>
      <c r="F36" s="1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4">
      <c r="A37" s="11" t="s">
        <v>42</v>
      </c>
      <c r="B37" s="5" t="s">
        <v>28</v>
      </c>
      <c r="C37" s="5" t="s">
        <v>7</v>
      </c>
      <c r="D37" s="5"/>
      <c r="E37" s="6">
        <v>8000</v>
      </c>
      <c r="F37" s="1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4">
      <c r="A38" s="11"/>
      <c r="B38" s="5" t="s">
        <v>43</v>
      </c>
      <c r="C38" s="5"/>
      <c r="D38" s="5"/>
      <c r="E38" s="5"/>
      <c r="F38" s="12">
        <v>8000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4">
      <c r="A39" s="11"/>
      <c r="B39" s="5" t="s">
        <v>44</v>
      </c>
      <c r="C39" s="5"/>
      <c r="D39" s="5"/>
      <c r="E39" s="5"/>
      <c r="F39" s="1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4">
      <c r="A40" s="14" t="s">
        <v>45</v>
      </c>
      <c r="B40" s="5" t="s">
        <v>6</v>
      </c>
      <c r="C40" s="5" t="s">
        <v>7</v>
      </c>
      <c r="D40" s="5"/>
      <c r="E40" s="6">
        <v>6300</v>
      </c>
      <c r="F40" s="1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4">
      <c r="A41" s="11"/>
      <c r="B41" s="5" t="s">
        <v>46</v>
      </c>
      <c r="C41" s="5"/>
      <c r="D41" s="5"/>
      <c r="E41" s="5"/>
      <c r="F41" s="12">
        <v>6300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4">
      <c r="A42" s="11"/>
      <c r="B42" s="5" t="s">
        <v>47</v>
      </c>
      <c r="C42" s="5"/>
      <c r="D42" s="5"/>
      <c r="E42" s="5"/>
      <c r="F42" s="1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4">
      <c r="A43" s="11" t="s">
        <v>48</v>
      </c>
      <c r="B43" s="5" t="s">
        <v>49</v>
      </c>
      <c r="C43" s="5" t="s">
        <v>7</v>
      </c>
      <c r="D43" s="5"/>
      <c r="E43" s="6">
        <v>8000</v>
      </c>
      <c r="F43" s="1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4">
      <c r="A44" s="11"/>
      <c r="B44" s="5" t="s">
        <v>12</v>
      </c>
      <c r="C44" s="5"/>
      <c r="D44" s="5"/>
      <c r="E44" s="5"/>
      <c r="F44" s="12">
        <v>8000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4">
      <c r="A45" s="11"/>
      <c r="B45" s="5" t="s">
        <v>50</v>
      </c>
      <c r="C45" s="5"/>
      <c r="D45" s="5"/>
      <c r="E45" s="5"/>
      <c r="F45" s="1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4">
      <c r="A46" s="11" t="s">
        <v>51</v>
      </c>
      <c r="B46" s="5" t="s">
        <v>52</v>
      </c>
      <c r="C46" s="5" t="s">
        <v>7</v>
      </c>
      <c r="D46" s="5"/>
      <c r="E46" s="5">
        <v>800</v>
      </c>
      <c r="F46" s="1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4">
      <c r="A47" s="11"/>
      <c r="B47" s="5" t="s">
        <v>12</v>
      </c>
      <c r="C47" s="5"/>
      <c r="D47" s="5"/>
      <c r="E47" s="5"/>
      <c r="F47" s="13">
        <v>800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4">
      <c r="A48" s="11"/>
      <c r="B48" s="5" t="s">
        <v>53</v>
      </c>
      <c r="C48" s="5"/>
      <c r="D48" s="5"/>
      <c r="E48" s="5"/>
      <c r="F48" s="1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" x14ac:dyDescent="0.4">
      <c r="A49" s="11" t="s">
        <v>54</v>
      </c>
      <c r="B49" s="5" t="s">
        <v>6</v>
      </c>
      <c r="C49" s="5" t="s">
        <v>7</v>
      </c>
      <c r="D49" s="5"/>
      <c r="E49" s="6">
        <v>7100</v>
      </c>
      <c r="F49" s="1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" x14ac:dyDescent="0.4">
      <c r="A50" s="11"/>
      <c r="B50" s="5" t="s">
        <v>32</v>
      </c>
      <c r="C50" s="5"/>
      <c r="D50" s="5"/>
      <c r="E50" s="5"/>
      <c r="F50" s="12">
        <v>7100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" x14ac:dyDescent="0.4">
      <c r="A51" s="11"/>
      <c r="B51" s="5" t="s">
        <v>33</v>
      </c>
      <c r="C51" s="5"/>
      <c r="D51" s="5"/>
      <c r="E51" s="5"/>
      <c r="F51" s="1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" x14ac:dyDescent="0.4">
      <c r="A52" s="11" t="s">
        <v>55</v>
      </c>
      <c r="B52" s="5" t="s">
        <v>56</v>
      </c>
      <c r="C52" s="5" t="s">
        <v>7</v>
      </c>
      <c r="D52" s="5"/>
      <c r="E52" s="6">
        <v>24000</v>
      </c>
      <c r="F52" s="1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8" x14ac:dyDescent="0.4">
      <c r="A53" s="11"/>
      <c r="B53" s="5" t="s">
        <v>12</v>
      </c>
      <c r="C53" s="5"/>
      <c r="D53" s="5"/>
      <c r="E53" s="5"/>
      <c r="F53" s="12">
        <v>24000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8" x14ac:dyDescent="0.4">
      <c r="A54" s="11"/>
      <c r="B54" s="5" t="s">
        <v>57</v>
      </c>
      <c r="C54" s="5"/>
      <c r="D54" s="5"/>
      <c r="E54" s="5"/>
      <c r="F54" s="1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8" x14ac:dyDescent="0.4">
      <c r="A55" s="11" t="s">
        <v>58</v>
      </c>
      <c r="B55" s="5" t="s">
        <v>15</v>
      </c>
      <c r="C55" s="5" t="s">
        <v>7</v>
      </c>
      <c r="D55" s="5"/>
      <c r="E55" s="6">
        <v>30000</v>
      </c>
      <c r="F55" s="1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" x14ac:dyDescent="0.4">
      <c r="A56" s="11"/>
      <c r="B56" s="5" t="s">
        <v>16</v>
      </c>
      <c r="C56" s="5"/>
      <c r="D56" s="5"/>
      <c r="E56" s="5"/>
      <c r="F56" s="12">
        <v>30000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8" x14ac:dyDescent="0.4">
      <c r="A57" s="11"/>
      <c r="B57" s="5" t="s">
        <v>59</v>
      </c>
      <c r="C57" s="5"/>
      <c r="D57" s="5"/>
      <c r="E57" s="5"/>
      <c r="F57" s="1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8" x14ac:dyDescent="0.4">
      <c r="A58" s="11" t="s">
        <v>60</v>
      </c>
      <c r="B58" s="5" t="s">
        <v>28</v>
      </c>
      <c r="C58" s="5" t="s">
        <v>7</v>
      </c>
      <c r="D58" s="5"/>
      <c r="E58" s="6">
        <v>16000</v>
      </c>
      <c r="F58" s="1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8" x14ac:dyDescent="0.4">
      <c r="A59" s="11"/>
      <c r="B59" s="5" t="s">
        <v>12</v>
      </c>
      <c r="C59" s="5"/>
      <c r="D59" s="5"/>
      <c r="E59" s="5"/>
      <c r="F59" s="12">
        <v>16000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" x14ac:dyDescent="0.4">
      <c r="A60" s="11"/>
      <c r="B60" s="5" t="s">
        <v>61</v>
      </c>
      <c r="C60" s="5"/>
      <c r="D60" s="5"/>
      <c r="E60" s="5"/>
      <c r="F60" s="1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" x14ac:dyDescent="0.4">
      <c r="A61" s="11" t="s">
        <v>62</v>
      </c>
      <c r="B61" s="5" t="s">
        <v>63</v>
      </c>
      <c r="C61" s="5" t="s">
        <v>7</v>
      </c>
      <c r="D61" s="5"/>
      <c r="E61" s="6">
        <v>30000</v>
      </c>
      <c r="F61" s="1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" x14ac:dyDescent="0.4">
      <c r="A62" s="11"/>
      <c r="B62" s="5" t="s">
        <v>12</v>
      </c>
      <c r="C62" s="5"/>
      <c r="D62" s="5"/>
      <c r="E62" s="5"/>
      <c r="F62" s="12">
        <v>30000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" x14ac:dyDescent="0.4">
      <c r="A63" s="11"/>
      <c r="B63" s="5" t="s">
        <v>64</v>
      </c>
      <c r="C63" s="5"/>
      <c r="D63" s="5"/>
      <c r="E63" s="5"/>
      <c r="F63" s="1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" x14ac:dyDescent="0.4">
      <c r="A64" s="11" t="s">
        <v>65</v>
      </c>
      <c r="B64" s="5" t="s">
        <v>6</v>
      </c>
      <c r="C64" s="5" t="s">
        <v>7</v>
      </c>
      <c r="D64" s="5"/>
      <c r="E64" s="6">
        <v>8200</v>
      </c>
      <c r="F64" s="1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" x14ac:dyDescent="0.4">
      <c r="A65" s="11"/>
      <c r="B65" s="5" t="s">
        <v>32</v>
      </c>
      <c r="C65" s="5"/>
      <c r="D65" s="5"/>
      <c r="E65" s="5"/>
      <c r="F65" s="12">
        <v>8200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" x14ac:dyDescent="0.4">
      <c r="A66" s="11"/>
      <c r="B66" s="5" t="s">
        <v>47</v>
      </c>
      <c r="C66" s="5"/>
      <c r="D66" s="5"/>
      <c r="E66" s="5"/>
      <c r="F66" s="1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" x14ac:dyDescent="0.4">
      <c r="A67" s="11" t="s">
        <v>66</v>
      </c>
      <c r="B67" s="5" t="s">
        <v>67</v>
      </c>
      <c r="C67" s="5" t="s">
        <v>7</v>
      </c>
      <c r="D67" s="5"/>
      <c r="E67" s="6">
        <v>1499</v>
      </c>
      <c r="F67" s="1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" x14ac:dyDescent="0.4">
      <c r="A68" s="11"/>
      <c r="B68" s="5" t="s">
        <v>12</v>
      </c>
      <c r="C68" s="5"/>
      <c r="D68" s="5"/>
      <c r="E68" s="5"/>
      <c r="F68" s="12">
        <v>1499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" x14ac:dyDescent="0.4">
      <c r="A69" s="11"/>
      <c r="B69" s="5" t="s">
        <v>68</v>
      </c>
      <c r="C69" s="5"/>
      <c r="D69" s="5"/>
      <c r="E69" s="5"/>
      <c r="F69" s="1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" x14ac:dyDescent="0.4">
      <c r="A70" s="11" t="s">
        <v>72</v>
      </c>
      <c r="B70" s="5" t="s">
        <v>69</v>
      </c>
      <c r="C70" s="5" t="s">
        <v>7</v>
      </c>
      <c r="D70" s="5"/>
      <c r="E70" s="6">
        <v>4000</v>
      </c>
      <c r="F70" s="1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" x14ac:dyDescent="0.4">
      <c r="A71" s="11"/>
      <c r="B71" s="5" t="s">
        <v>12</v>
      </c>
      <c r="C71" s="5"/>
      <c r="D71" s="5"/>
      <c r="E71" s="5"/>
      <c r="F71" s="12">
        <v>4000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" x14ac:dyDescent="0.4">
      <c r="A72" s="11"/>
      <c r="B72" s="5" t="s">
        <v>70</v>
      </c>
      <c r="C72" s="5"/>
      <c r="D72" s="5"/>
      <c r="E72" s="5"/>
      <c r="F72" s="1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" x14ac:dyDescent="0.4">
      <c r="A73" s="11" t="s">
        <v>71</v>
      </c>
      <c r="B73" s="5" t="s">
        <v>6</v>
      </c>
      <c r="C73" s="5" t="s">
        <v>7</v>
      </c>
      <c r="D73" s="5"/>
      <c r="E73" s="6">
        <v>9500</v>
      </c>
      <c r="F73" s="1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" x14ac:dyDescent="0.4">
      <c r="A74" s="11"/>
      <c r="B74" s="5" t="s">
        <v>32</v>
      </c>
      <c r="C74" s="5"/>
      <c r="D74" s="5"/>
      <c r="E74" s="5"/>
      <c r="F74" s="12">
        <v>9500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" x14ac:dyDescent="0.4">
      <c r="A75" s="11"/>
      <c r="B75" s="5" t="s">
        <v>47</v>
      </c>
      <c r="C75" s="5"/>
      <c r="D75" s="5"/>
      <c r="E75" s="5"/>
      <c r="F75" s="1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" x14ac:dyDescent="0.4">
      <c r="A76" s="11" t="s">
        <v>73</v>
      </c>
      <c r="B76" s="5" t="s">
        <v>74</v>
      </c>
      <c r="C76" s="5" t="s">
        <v>7</v>
      </c>
      <c r="D76" s="5"/>
      <c r="E76" s="6">
        <v>9800</v>
      </c>
      <c r="F76" s="1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" x14ac:dyDescent="0.4">
      <c r="A77" s="11"/>
      <c r="B77" s="5" t="s">
        <v>12</v>
      </c>
      <c r="C77" s="5"/>
      <c r="D77" s="5"/>
      <c r="E77" s="5"/>
      <c r="F77" s="12">
        <v>9800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" x14ac:dyDescent="0.4">
      <c r="A78" s="11"/>
      <c r="B78" s="5" t="s">
        <v>75</v>
      </c>
      <c r="C78" s="5"/>
      <c r="D78" s="5"/>
      <c r="E78" s="5"/>
      <c r="F78" s="1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" x14ac:dyDescent="0.4">
      <c r="A79" s="11" t="s">
        <v>76</v>
      </c>
      <c r="B79" s="5" t="s">
        <v>40</v>
      </c>
      <c r="C79" s="5" t="s">
        <v>7</v>
      </c>
      <c r="D79" s="5"/>
      <c r="E79" s="6">
        <v>2500</v>
      </c>
      <c r="F79" s="1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" x14ac:dyDescent="0.4">
      <c r="A80" s="11"/>
      <c r="B80" s="5" t="s">
        <v>12</v>
      </c>
      <c r="C80" s="5"/>
      <c r="D80" s="5"/>
      <c r="E80" s="5"/>
      <c r="F80" s="12">
        <v>2500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" x14ac:dyDescent="0.4">
      <c r="A81" s="11"/>
      <c r="B81" s="5" t="s">
        <v>41</v>
      </c>
      <c r="C81" s="5"/>
      <c r="D81" s="5"/>
      <c r="E81" s="5"/>
      <c r="F81" s="1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" x14ac:dyDescent="0.4">
      <c r="A82" s="11" t="s">
        <v>77</v>
      </c>
      <c r="B82" s="5" t="s">
        <v>6</v>
      </c>
      <c r="C82" s="5" t="s">
        <v>7</v>
      </c>
      <c r="D82" s="5"/>
      <c r="E82" s="6">
        <v>8800</v>
      </c>
      <c r="F82" s="1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" x14ac:dyDescent="0.4">
      <c r="A83" s="11"/>
      <c r="B83" s="5" t="s">
        <v>32</v>
      </c>
      <c r="C83" s="5"/>
      <c r="D83" s="5"/>
      <c r="E83" s="5"/>
      <c r="F83" s="12">
        <v>8800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" x14ac:dyDescent="0.4">
      <c r="A84" s="11"/>
      <c r="B84" s="5" t="s">
        <v>47</v>
      </c>
      <c r="C84" s="5"/>
      <c r="D84" s="5"/>
      <c r="E84" s="5"/>
      <c r="F84" s="1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" x14ac:dyDescent="0.4">
      <c r="A85" s="11" t="s">
        <v>78</v>
      </c>
      <c r="B85" s="5" t="s">
        <v>6</v>
      </c>
      <c r="C85" s="5" t="s">
        <v>7</v>
      </c>
      <c r="D85" s="5"/>
      <c r="E85" s="6">
        <v>10000</v>
      </c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" x14ac:dyDescent="0.4">
      <c r="A86" s="11"/>
      <c r="B86" s="5" t="s">
        <v>16</v>
      </c>
      <c r="C86" s="5"/>
      <c r="D86" s="5"/>
      <c r="E86" s="5"/>
      <c r="F86" s="12">
        <v>10000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" x14ac:dyDescent="0.4">
      <c r="A87" s="11"/>
      <c r="B87" s="5" t="s">
        <v>79</v>
      </c>
      <c r="C87" s="5"/>
      <c r="D87" s="5"/>
      <c r="E87" s="5"/>
      <c r="F87" s="1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" x14ac:dyDescent="0.4">
      <c r="A88" s="11" t="s">
        <v>80</v>
      </c>
      <c r="B88" s="5" t="s">
        <v>81</v>
      </c>
      <c r="C88" s="5" t="s">
        <v>7</v>
      </c>
      <c r="D88" s="5"/>
      <c r="E88" s="6">
        <v>2500</v>
      </c>
      <c r="F88" s="1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" x14ac:dyDescent="0.4">
      <c r="A89" s="11"/>
      <c r="B89" s="5" t="s">
        <v>12</v>
      </c>
      <c r="C89" s="5"/>
      <c r="D89" s="5"/>
      <c r="E89" s="5"/>
      <c r="F89" s="12">
        <v>2500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" x14ac:dyDescent="0.4">
      <c r="A90" s="11"/>
      <c r="B90" s="5" t="s">
        <v>82</v>
      </c>
      <c r="C90" s="5"/>
      <c r="D90" s="5"/>
      <c r="E90" s="5"/>
      <c r="F90" s="1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" x14ac:dyDescent="0.4">
      <c r="A91" s="11" t="s">
        <v>83</v>
      </c>
      <c r="B91" s="5" t="s">
        <v>84</v>
      </c>
      <c r="C91" s="5" t="s">
        <v>7</v>
      </c>
      <c r="D91" s="5"/>
      <c r="E91" s="6">
        <v>3000</v>
      </c>
      <c r="F91" s="1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" x14ac:dyDescent="0.4">
      <c r="A92" s="11"/>
      <c r="B92" s="5" t="s">
        <v>12</v>
      </c>
      <c r="C92" s="5"/>
      <c r="D92" s="5"/>
      <c r="E92" s="5"/>
      <c r="F92" s="12">
        <v>3000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" x14ac:dyDescent="0.4">
      <c r="A93" s="11"/>
      <c r="B93" s="5" t="s">
        <v>85</v>
      </c>
      <c r="C93" s="5"/>
      <c r="D93" s="5"/>
      <c r="E93" s="5"/>
      <c r="F93" s="1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" x14ac:dyDescent="0.4">
      <c r="A94" s="11" t="s">
        <v>86</v>
      </c>
      <c r="B94" s="5" t="s">
        <v>56</v>
      </c>
      <c r="C94" s="5" t="s">
        <v>7</v>
      </c>
      <c r="D94" s="5"/>
      <c r="E94" s="6">
        <v>24000</v>
      </c>
      <c r="F94" s="1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" x14ac:dyDescent="0.4">
      <c r="A95" s="11"/>
      <c r="B95" s="5" t="s">
        <v>12</v>
      </c>
      <c r="C95" s="5"/>
      <c r="D95" s="5"/>
      <c r="E95" s="5"/>
      <c r="F95" s="12">
        <v>24000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" x14ac:dyDescent="0.4">
      <c r="A96" s="11"/>
      <c r="B96" s="5" t="s">
        <v>87</v>
      </c>
      <c r="C96" s="5"/>
      <c r="D96" s="5"/>
      <c r="E96" s="5"/>
      <c r="F96" s="1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.5" thickBot="1" x14ac:dyDescent="0.45">
      <c r="A97" s="15"/>
      <c r="B97" s="16"/>
      <c r="C97" s="16"/>
      <c r="D97" s="16"/>
      <c r="E97" s="16"/>
      <c r="F97" s="1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EF82-505E-46AF-9489-F6E7D8BC2203}">
  <dimension ref="A1:Q313"/>
  <sheetViews>
    <sheetView zoomScale="61" workbookViewId="0">
      <selection sqref="A1:H1"/>
    </sheetView>
  </sheetViews>
  <sheetFormatPr defaultRowHeight="14.5" x14ac:dyDescent="0.35"/>
  <cols>
    <col min="1" max="1" width="13.453125" customWidth="1"/>
    <col min="2" max="2" width="26.90625" customWidth="1"/>
    <col min="4" max="4" width="11.453125" customWidth="1"/>
    <col min="5" max="5" width="13.1796875" customWidth="1"/>
    <col min="6" max="6" width="31.26953125" customWidth="1"/>
    <col min="8" max="8" width="12.6328125" customWidth="1"/>
  </cols>
  <sheetData>
    <row r="1" spans="1:17" ht="18" x14ac:dyDescent="0.4">
      <c r="A1" s="94" t="s">
        <v>298</v>
      </c>
      <c r="B1" s="94"/>
      <c r="C1" s="94"/>
      <c r="D1" s="94"/>
      <c r="E1" s="94"/>
      <c r="F1" s="94"/>
      <c r="G1" s="94"/>
      <c r="H1" s="94"/>
      <c r="I1" s="1"/>
      <c r="J1" s="1"/>
      <c r="K1" s="1"/>
      <c r="L1" s="1"/>
      <c r="M1" s="1"/>
      <c r="N1" s="1"/>
      <c r="O1" s="1"/>
      <c r="P1" s="1"/>
      <c r="Q1" s="1"/>
    </row>
    <row r="2" spans="1:17" ht="18" x14ac:dyDescent="0.4">
      <c r="A2" s="94" t="s">
        <v>88</v>
      </c>
      <c r="B2" s="94"/>
      <c r="C2" s="94"/>
      <c r="D2" s="94"/>
      <c r="E2" s="94"/>
      <c r="F2" s="94"/>
      <c r="G2" s="94"/>
      <c r="H2" s="94"/>
      <c r="I2" s="94"/>
      <c r="J2" s="1"/>
      <c r="K2" s="1"/>
      <c r="L2" s="1"/>
      <c r="M2" s="1"/>
      <c r="N2" s="1"/>
      <c r="O2" s="1"/>
      <c r="P2" s="1"/>
      <c r="Q2" s="1"/>
    </row>
    <row r="3" spans="1:17" ht="18.5" thickBot="1" x14ac:dyDescent="0.45">
      <c r="A3" s="96" t="s">
        <v>89</v>
      </c>
      <c r="B3" s="96"/>
      <c r="C3" s="96"/>
      <c r="D3" s="96"/>
      <c r="E3" s="96"/>
      <c r="F3" s="96"/>
      <c r="G3" s="96"/>
      <c r="H3" s="96"/>
      <c r="I3" s="1"/>
      <c r="J3" s="1"/>
      <c r="K3" s="1"/>
      <c r="L3" s="1"/>
      <c r="M3" s="1"/>
      <c r="N3" s="1"/>
      <c r="O3" s="1"/>
      <c r="P3" s="1"/>
      <c r="Q3" s="1"/>
    </row>
    <row r="4" spans="1:17" ht="18.5" thickBot="1" x14ac:dyDescent="0.45">
      <c r="A4" s="2" t="s">
        <v>0</v>
      </c>
      <c r="B4" s="3" t="s">
        <v>1</v>
      </c>
      <c r="C4" s="3" t="s">
        <v>90</v>
      </c>
      <c r="D4" s="3" t="s">
        <v>91</v>
      </c>
      <c r="E4" s="3" t="s">
        <v>0</v>
      </c>
      <c r="F4" s="3" t="s">
        <v>92</v>
      </c>
      <c r="G4" s="3" t="s">
        <v>90</v>
      </c>
      <c r="H4" s="4" t="s">
        <v>91</v>
      </c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4">
      <c r="A5" s="7" t="s">
        <v>86</v>
      </c>
      <c r="B5" s="8" t="s">
        <v>95</v>
      </c>
      <c r="C5" s="8"/>
      <c r="D5" s="9">
        <v>800000</v>
      </c>
      <c r="E5" s="8" t="s">
        <v>5</v>
      </c>
      <c r="F5" s="8" t="s">
        <v>93</v>
      </c>
      <c r="G5" s="8"/>
      <c r="H5" s="19">
        <v>800000</v>
      </c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4">
      <c r="A6" s="11"/>
      <c r="B6" s="5"/>
      <c r="C6" s="5"/>
      <c r="D6" s="5"/>
      <c r="E6" s="5"/>
      <c r="F6" s="5"/>
      <c r="G6" s="5"/>
      <c r="H6" s="13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4">
      <c r="A7" s="11"/>
      <c r="B7" s="5"/>
      <c r="C7" s="5"/>
      <c r="D7" s="18">
        <v>800000</v>
      </c>
      <c r="E7" s="5"/>
      <c r="F7" s="5"/>
      <c r="G7" s="5"/>
      <c r="H7" s="20">
        <v>800000</v>
      </c>
      <c r="I7" s="1"/>
      <c r="J7" s="1"/>
      <c r="K7" s="1"/>
      <c r="L7" s="1"/>
      <c r="M7" s="1"/>
      <c r="N7" s="1"/>
      <c r="O7" s="1"/>
      <c r="P7" s="1"/>
      <c r="Q7" s="1"/>
    </row>
    <row r="8" spans="1:17" ht="18.5" thickBot="1" x14ac:dyDescent="0.45">
      <c r="A8" s="15"/>
      <c r="B8" s="16"/>
      <c r="C8" s="16"/>
      <c r="D8" s="16"/>
      <c r="E8" s="16" t="s">
        <v>97</v>
      </c>
      <c r="F8" s="16" t="s">
        <v>94</v>
      </c>
      <c r="G8" s="16"/>
      <c r="H8" s="21">
        <v>800000</v>
      </c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4">
      <c r="A9" s="97" t="s">
        <v>96</v>
      </c>
      <c r="B9" s="97"/>
      <c r="C9" s="97"/>
      <c r="D9" s="97"/>
      <c r="E9" s="97"/>
      <c r="F9" s="97"/>
      <c r="G9" s="97"/>
      <c r="H9" s="97"/>
      <c r="I9" s="1"/>
      <c r="J9" s="1"/>
      <c r="K9" s="1"/>
      <c r="L9" s="1"/>
      <c r="M9" s="1"/>
      <c r="N9" s="1"/>
      <c r="O9" s="1"/>
      <c r="P9" s="1"/>
      <c r="Q9" s="1"/>
    </row>
    <row r="10" spans="1:17" ht="18.5" thickBot="1" x14ac:dyDescent="0.45">
      <c r="A10" s="96" t="s">
        <v>89</v>
      </c>
      <c r="B10" s="96"/>
      <c r="C10" s="96"/>
      <c r="D10" s="96"/>
      <c r="E10" s="96"/>
      <c r="F10" s="96"/>
      <c r="G10" s="96"/>
      <c r="H10" s="96"/>
      <c r="I10" s="1"/>
      <c r="J10" s="1"/>
      <c r="K10" s="1"/>
      <c r="L10" s="1"/>
      <c r="M10" s="1"/>
      <c r="N10" s="1"/>
      <c r="O10" s="1"/>
      <c r="P10" s="1"/>
      <c r="Q10" s="1"/>
    </row>
    <row r="11" spans="1:17" ht="18.5" thickBot="1" x14ac:dyDescent="0.45">
      <c r="A11" s="2" t="s">
        <v>0</v>
      </c>
      <c r="B11" s="3" t="s">
        <v>1</v>
      </c>
      <c r="C11" s="3" t="s">
        <v>90</v>
      </c>
      <c r="D11" s="3" t="s">
        <v>91</v>
      </c>
      <c r="E11" s="3" t="s">
        <v>0</v>
      </c>
      <c r="F11" s="3" t="s">
        <v>92</v>
      </c>
      <c r="G11" s="3" t="s">
        <v>90</v>
      </c>
      <c r="H11" s="4" t="s">
        <v>91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4">
      <c r="A12" s="7" t="s">
        <v>5</v>
      </c>
      <c r="B12" s="8" t="s">
        <v>98</v>
      </c>
      <c r="C12" s="8"/>
      <c r="D12" s="9">
        <v>800000</v>
      </c>
      <c r="E12" s="8" t="s">
        <v>10</v>
      </c>
      <c r="F12" s="8" t="s">
        <v>99</v>
      </c>
      <c r="G12" s="8"/>
      <c r="H12" s="19">
        <v>450000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4">
      <c r="A13" s="11" t="s">
        <v>31</v>
      </c>
      <c r="B13" s="5" t="s">
        <v>103</v>
      </c>
      <c r="C13" s="5"/>
      <c r="D13" s="6">
        <v>4800</v>
      </c>
      <c r="E13" s="5" t="s">
        <v>18</v>
      </c>
      <c r="F13" s="5" t="s">
        <v>100</v>
      </c>
      <c r="G13" s="5"/>
      <c r="H13" s="12">
        <v>75000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4">
      <c r="A14" s="11" t="s">
        <v>37</v>
      </c>
      <c r="B14" s="5" t="s">
        <v>103</v>
      </c>
      <c r="C14" s="5"/>
      <c r="D14" s="6">
        <v>5500</v>
      </c>
      <c r="E14" s="5" t="s">
        <v>25</v>
      </c>
      <c r="F14" s="5" t="s">
        <v>101</v>
      </c>
      <c r="G14" s="5"/>
      <c r="H14" s="12">
        <v>2500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4">
      <c r="A15" s="11" t="s">
        <v>45</v>
      </c>
      <c r="B15" s="5" t="s">
        <v>103</v>
      </c>
      <c r="C15" s="5"/>
      <c r="D15" s="6">
        <v>6300</v>
      </c>
      <c r="E15" s="5" t="s">
        <v>30</v>
      </c>
      <c r="F15" s="5" t="s">
        <v>102</v>
      </c>
      <c r="G15" s="5"/>
      <c r="H15" s="12">
        <v>15000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4">
      <c r="A16" s="11" t="s">
        <v>54</v>
      </c>
      <c r="B16" s="5" t="s">
        <v>103</v>
      </c>
      <c r="C16" s="5"/>
      <c r="D16" s="6">
        <v>7100</v>
      </c>
      <c r="E16" s="5" t="s">
        <v>34</v>
      </c>
      <c r="F16" s="5" t="s">
        <v>104</v>
      </c>
      <c r="G16" s="5"/>
      <c r="H16" s="12">
        <v>3000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4">
      <c r="A17" s="11" t="s">
        <v>65</v>
      </c>
      <c r="B17" s="5" t="s">
        <v>103</v>
      </c>
      <c r="C17" s="5"/>
      <c r="D17" s="6">
        <v>8200</v>
      </c>
      <c r="E17" s="5" t="s">
        <v>39</v>
      </c>
      <c r="F17" s="5" t="s">
        <v>105</v>
      </c>
      <c r="G17" s="5"/>
      <c r="H17" s="12">
        <v>2200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4">
      <c r="A18" s="11" t="s">
        <v>71</v>
      </c>
      <c r="B18" s="5" t="s">
        <v>103</v>
      </c>
      <c r="C18" s="5"/>
      <c r="D18" s="6">
        <v>9500</v>
      </c>
      <c r="E18" s="5" t="s">
        <v>48</v>
      </c>
      <c r="F18" s="5" t="s">
        <v>106</v>
      </c>
      <c r="G18" s="5"/>
      <c r="H18" s="12">
        <v>8000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4">
      <c r="A19" s="11" t="s">
        <v>77</v>
      </c>
      <c r="B19" s="5" t="s">
        <v>103</v>
      </c>
      <c r="C19" s="5"/>
      <c r="D19" s="6">
        <v>8800</v>
      </c>
      <c r="E19" s="5" t="s">
        <v>51</v>
      </c>
      <c r="F19" s="5" t="s">
        <v>107</v>
      </c>
      <c r="G19" s="5"/>
      <c r="H19" s="13">
        <v>800</v>
      </c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4">
      <c r="A20" s="11" t="s">
        <v>78</v>
      </c>
      <c r="B20" s="5" t="s">
        <v>116</v>
      </c>
      <c r="C20" s="5"/>
      <c r="D20" s="6">
        <v>10000</v>
      </c>
      <c r="E20" s="5" t="s">
        <v>108</v>
      </c>
      <c r="F20" s="5" t="s">
        <v>109</v>
      </c>
      <c r="G20" s="5"/>
      <c r="H20" s="12">
        <v>24000</v>
      </c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4">
      <c r="A21" s="11"/>
      <c r="B21" s="5"/>
      <c r="C21" s="5"/>
      <c r="D21" s="5"/>
      <c r="E21" s="5" t="s">
        <v>60</v>
      </c>
      <c r="F21" s="5" t="s">
        <v>102</v>
      </c>
      <c r="G21" s="5"/>
      <c r="H21" s="12">
        <v>16000</v>
      </c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4">
      <c r="A22" s="11"/>
      <c r="B22" s="5"/>
      <c r="C22" s="5"/>
      <c r="D22" s="5"/>
      <c r="E22" s="5" t="s">
        <v>62</v>
      </c>
      <c r="F22" s="5" t="s">
        <v>110</v>
      </c>
      <c r="G22" s="5"/>
      <c r="H22" s="12">
        <v>30000</v>
      </c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4">
      <c r="A23" s="11"/>
      <c r="B23" s="5"/>
      <c r="C23" s="5"/>
      <c r="D23" s="5"/>
      <c r="E23" s="5" t="s">
        <v>66</v>
      </c>
      <c r="F23" s="5" t="s">
        <v>111</v>
      </c>
      <c r="G23" s="5"/>
      <c r="H23" s="12">
        <v>1499</v>
      </c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4">
      <c r="A24" s="11"/>
      <c r="B24" s="5"/>
      <c r="C24" s="5"/>
      <c r="D24" s="5"/>
      <c r="E24" s="5" t="s">
        <v>72</v>
      </c>
      <c r="F24" s="5" t="s">
        <v>112</v>
      </c>
      <c r="G24" s="5"/>
      <c r="H24" s="12">
        <v>4000</v>
      </c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4">
      <c r="A25" s="11"/>
      <c r="B25" s="5"/>
      <c r="C25" s="5"/>
      <c r="D25" s="5"/>
      <c r="E25" s="5" t="s">
        <v>73</v>
      </c>
      <c r="F25" s="5" t="s">
        <v>113</v>
      </c>
      <c r="G25" s="5"/>
      <c r="H25" s="12">
        <v>9800</v>
      </c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4">
      <c r="A26" s="11"/>
      <c r="B26" s="5"/>
      <c r="C26" s="5"/>
      <c r="D26" s="5"/>
      <c r="E26" s="5" t="s">
        <v>76</v>
      </c>
      <c r="F26" s="5" t="s">
        <v>105</v>
      </c>
      <c r="G26" s="5"/>
      <c r="H26" s="12">
        <v>2500</v>
      </c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4">
      <c r="A27" s="11"/>
      <c r="B27" s="5"/>
      <c r="C27" s="5"/>
      <c r="D27" s="6"/>
      <c r="E27" s="5" t="s">
        <v>80</v>
      </c>
      <c r="F27" s="5" t="s">
        <v>114</v>
      </c>
      <c r="G27" s="5"/>
      <c r="H27" s="12">
        <v>2500</v>
      </c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4">
      <c r="A28" s="11"/>
      <c r="B28" s="5"/>
      <c r="C28" s="5"/>
      <c r="D28" s="5"/>
      <c r="E28" s="5" t="s">
        <v>83</v>
      </c>
      <c r="F28" s="5" t="s">
        <v>115</v>
      </c>
      <c r="G28" s="5"/>
      <c r="H28" s="12">
        <v>3000</v>
      </c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4">
      <c r="A29" s="11"/>
      <c r="B29" s="5"/>
      <c r="C29" s="5"/>
      <c r="D29" s="5"/>
      <c r="E29" s="5" t="s">
        <v>86</v>
      </c>
      <c r="F29" s="5" t="s">
        <v>109</v>
      </c>
      <c r="G29" s="5"/>
      <c r="H29" s="12">
        <v>24000</v>
      </c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4">
      <c r="A30" s="11"/>
      <c r="B30" s="5"/>
      <c r="C30" s="5"/>
      <c r="D30" s="5"/>
      <c r="E30" s="5" t="s">
        <v>86</v>
      </c>
      <c r="F30" s="5" t="s">
        <v>117</v>
      </c>
      <c r="G30" s="5"/>
      <c r="H30" s="12">
        <f>SUM(D31)-SUM(H12:H29)</f>
        <v>186401</v>
      </c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4">
      <c r="A31" s="11"/>
      <c r="B31" s="5"/>
      <c r="C31" s="5"/>
      <c r="D31" s="18">
        <f>SUM(D12:D20)</f>
        <v>860200</v>
      </c>
      <c r="E31" s="5"/>
      <c r="F31" s="5"/>
      <c r="G31" s="5"/>
      <c r="H31" s="20">
        <v>860200</v>
      </c>
      <c r="I31" s="1"/>
      <c r="J31" s="1"/>
      <c r="K31" s="1"/>
      <c r="L31" s="1"/>
      <c r="M31" s="1"/>
      <c r="N31" s="1"/>
      <c r="O31" s="1"/>
      <c r="P31" s="1"/>
      <c r="Q31" s="1"/>
    </row>
    <row r="32" spans="1:17" ht="18.5" thickBot="1" x14ac:dyDescent="0.45">
      <c r="A32" s="15" t="s">
        <v>97</v>
      </c>
      <c r="B32" s="16" t="s">
        <v>118</v>
      </c>
      <c r="C32" s="16"/>
      <c r="D32" s="22">
        <v>186401</v>
      </c>
      <c r="E32" s="16"/>
      <c r="F32" s="16"/>
      <c r="G32" s="16"/>
      <c r="H32" s="17"/>
      <c r="I32" s="1"/>
      <c r="J32" s="1"/>
      <c r="K32" s="1"/>
      <c r="L32" s="1"/>
      <c r="M32" s="1"/>
      <c r="N32" s="1"/>
      <c r="O32" s="1"/>
      <c r="P32" s="1"/>
      <c r="Q32" s="1"/>
    </row>
    <row r="33" spans="1:17" ht="18" x14ac:dyDescent="0.4">
      <c r="A33" s="95" t="s">
        <v>119</v>
      </c>
      <c r="B33" s="95"/>
      <c r="C33" s="95"/>
      <c r="D33" s="95"/>
      <c r="E33" s="95"/>
      <c r="F33" s="95"/>
      <c r="G33" s="95"/>
      <c r="H33" s="95"/>
      <c r="I33" s="1"/>
      <c r="J33" s="1"/>
      <c r="K33" s="1"/>
      <c r="L33" s="1"/>
      <c r="M33" s="1"/>
      <c r="N33" s="1"/>
      <c r="O33" s="1"/>
      <c r="P33" s="1"/>
      <c r="Q33" s="1"/>
    </row>
    <row r="34" spans="1:17" ht="18.5" thickBot="1" x14ac:dyDescent="0.45">
      <c r="A34" s="96" t="s">
        <v>89</v>
      </c>
      <c r="B34" s="96"/>
      <c r="C34" s="96"/>
      <c r="D34" s="96"/>
      <c r="E34" s="96"/>
      <c r="F34" s="96"/>
      <c r="G34" s="96"/>
      <c r="H34" s="96"/>
      <c r="I34" s="1"/>
      <c r="J34" s="1"/>
      <c r="K34" s="1"/>
      <c r="L34" s="1"/>
      <c r="M34" s="1"/>
      <c r="N34" s="1"/>
      <c r="O34" s="1"/>
      <c r="P34" s="1"/>
      <c r="Q34" s="1"/>
    </row>
    <row r="35" spans="1:17" ht="18.5" thickBot="1" x14ac:dyDescent="0.45">
      <c r="A35" s="2" t="s">
        <v>0</v>
      </c>
      <c r="B35" s="3" t="s">
        <v>1</v>
      </c>
      <c r="C35" s="3" t="s">
        <v>90</v>
      </c>
      <c r="D35" s="3" t="s">
        <v>91</v>
      </c>
      <c r="E35" s="3" t="s">
        <v>0</v>
      </c>
      <c r="F35" s="3" t="s">
        <v>92</v>
      </c>
      <c r="G35" s="3" t="s">
        <v>90</v>
      </c>
      <c r="H35" s="4" t="s">
        <v>91</v>
      </c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4">
      <c r="A36" s="7" t="s">
        <v>10</v>
      </c>
      <c r="B36" s="8" t="s">
        <v>120</v>
      </c>
      <c r="C36" s="8"/>
      <c r="D36" s="9">
        <v>450000</v>
      </c>
      <c r="E36" s="8" t="s">
        <v>14</v>
      </c>
      <c r="F36" s="8" t="s">
        <v>121</v>
      </c>
      <c r="G36" s="8"/>
      <c r="H36" s="19">
        <v>30000</v>
      </c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4">
      <c r="A37" s="11"/>
      <c r="B37" s="5"/>
      <c r="C37" s="5"/>
      <c r="D37" s="5"/>
      <c r="E37" s="5" t="s">
        <v>58</v>
      </c>
      <c r="F37" s="5" t="s">
        <v>121</v>
      </c>
      <c r="G37" s="5"/>
      <c r="H37" s="12">
        <v>30000</v>
      </c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4">
      <c r="A38" s="11"/>
      <c r="B38" s="5"/>
      <c r="C38" s="5"/>
      <c r="D38" s="5"/>
      <c r="E38" s="5" t="s">
        <v>86</v>
      </c>
      <c r="F38" s="5" t="s">
        <v>117</v>
      </c>
      <c r="G38" s="5"/>
      <c r="H38" s="12">
        <f>SUM(D39)-SUM(H36:H37)</f>
        <v>390000</v>
      </c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4">
      <c r="A39" s="11"/>
      <c r="B39" s="5"/>
      <c r="C39" s="5"/>
      <c r="D39" s="18">
        <f>SUM(D36)</f>
        <v>450000</v>
      </c>
      <c r="E39" s="5"/>
      <c r="F39" s="5"/>
      <c r="G39" s="5"/>
      <c r="H39" s="20">
        <v>450000</v>
      </c>
      <c r="I39" s="1"/>
      <c r="J39" s="1"/>
      <c r="K39" s="1"/>
      <c r="L39" s="1"/>
      <c r="M39" s="1"/>
      <c r="N39" s="1"/>
      <c r="O39" s="1"/>
      <c r="P39" s="1"/>
      <c r="Q39" s="1"/>
    </row>
    <row r="40" spans="1:17" ht="18.5" thickBot="1" x14ac:dyDescent="0.45">
      <c r="A40" s="15" t="s">
        <v>97</v>
      </c>
      <c r="B40" s="16" t="s">
        <v>118</v>
      </c>
      <c r="C40" s="16"/>
      <c r="D40" s="22">
        <v>390000</v>
      </c>
      <c r="E40" s="16"/>
      <c r="F40" s="16"/>
      <c r="G40" s="16"/>
      <c r="H40" s="17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4">
      <c r="A41" s="95" t="s">
        <v>122</v>
      </c>
      <c r="B41" s="95"/>
      <c r="C41" s="95"/>
      <c r="D41" s="95"/>
      <c r="E41" s="95"/>
      <c r="F41" s="95"/>
      <c r="G41" s="95"/>
      <c r="H41" s="95"/>
      <c r="I41" s="1"/>
      <c r="J41" s="1"/>
      <c r="K41" s="1"/>
      <c r="L41" s="1"/>
      <c r="M41" s="1"/>
      <c r="N41" s="1"/>
      <c r="O41" s="1"/>
      <c r="P41" s="1"/>
      <c r="Q41" s="1"/>
    </row>
    <row r="42" spans="1:17" ht="18.5" thickBot="1" x14ac:dyDescent="0.45">
      <c r="A42" s="96" t="s">
        <v>89</v>
      </c>
      <c r="B42" s="96"/>
      <c r="C42" s="96"/>
      <c r="D42" s="96"/>
      <c r="E42" s="96"/>
      <c r="F42" s="96"/>
      <c r="G42" s="96"/>
      <c r="H42" s="96"/>
      <c r="I42" s="1"/>
      <c r="J42" s="1"/>
      <c r="K42" s="1"/>
      <c r="L42" s="1"/>
      <c r="M42" s="1"/>
      <c r="N42" s="1"/>
      <c r="O42" s="1"/>
      <c r="P42" s="1"/>
      <c r="Q42" s="1"/>
    </row>
    <row r="43" spans="1:17" ht="18.5" thickBot="1" x14ac:dyDescent="0.45">
      <c r="A43" s="2" t="s">
        <v>0</v>
      </c>
      <c r="B43" s="3" t="s">
        <v>1</v>
      </c>
      <c r="C43" s="3" t="s">
        <v>90</v>
      </c>
      <c r="D43" s="3" t="s">
        <v>91</v>
      </c>
      <c r="E43" s="3" t="s">
        <v>0</v>
      </c>
      <c r="F43" s="3" t="s">
        <v>92</v>
      </c>
      <c r="G43" s="3" t="s">
        <v>90</v>
      </c>
      <c r="H43" s="4" t="s">
        <v>91</v>
      </c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4">
      <c r="A44" s="7" t="s">
        <v>14</v>
      </c>
      <c r="B44" s="8" t="s">
        <v>116</v>
      </c>
      <c r="C44" s="8"/>
      <c r="D44" s="9">
        <v>30000</v>
      </c>
      <c r="E44" s="8" t="s">
        <v>86</v>
      </c>
      <c r="F44" s="8" t="s">
        <v>117</v>
      </c>
      <c r="G44" s="8"/>
      <c r="H44" s="19">
        <v>60000</v>
      </c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4">
      <c r="A45" s="11" t="s">
        <v>58</v>
      </c>
      <c r="B45" s="5" t="s">
        <v>116</v>
      </c>
      <c r="C45" s="5"/>
      <c r="D45" s="6">
        <v>30000</v>
      </c>
      <c r="E45" s="5"/>
      <c r="F45" s="5"/>
      <c r="G45" s="5"/>
      <c r="H45" s="13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4">
      <c r="A46" s="11"/>
      <c r="B46" s="5"/>
      <c r="C46" s="5"/>
      <c r="D46" s="5"/>
      <c r="E46" s="5"/>
      <c r="F46" s="5"/>
      <c r="G46" s="5"/>
      <c r="H46" s="13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4">
      <c r="A47" s="11"/>
      <c r="B47" s="5"/>
      <c r="C47" s="5"/>
      <c r="D47" s="18">
        <f>SUM(D44:D46)</f>
        <v>60000</v>
      </c>
      <c r="E47" s="5"/>
      <c r="F47" s="5"/>
      <c r="G47" s="5"/>
      <c r="H47" s="20">
        <v>60000</v>
      </c>
      <c r="I47" s="1"/>
      <c r="J47" s="1"/>
      <c r="K47" s="1"/>
      <c r="L47" s="1"/>
      <c r="M47" s="1"/>
      <c r="N47" s="1"/>
      <c r="O47" s="1"/>
      <c r="P47" s="1"/>
      <c r="Q47" s="1"/>
    </row>
    <row r="48" spans="1:17" ht="18.5" thickBot="1" x14ac:dyDescent="0.45">
      <c r="A48" s="15" t="s">
        <v>97</v>
      </c>
      <c r="B48" s="16" t="s">
        <v>118</v>
      </c>
      <c r="C48" s="16"/>
      <c r="D48" s="22">
        <v>60000</v>
      </c>
      <c r="E48" s="16"/>
      <c r="F48" s="16"/>
      <c r="G48" s="16"/>
      <c r="H48" s="17"/>
      <c r="I48" s="1"/>
      <c r="J48" s="1"/>
      <c r="K48" s="1"/>
      <c r="L48" s="1"/>
      <c r="M48" s="1"/>
      <c r="N48" s="1"/>
      <c r="O48" s="1"/>
      <c r="P48" s="1"/>
      <c r="Q48" s="1"/>
    </row>
    <row r="49" spans="1:17" ht="18" x14ac:dyDescent="0.4">
      <c r="A49" s="95" t="s">
        <v>123</v>
      </c>
      <c r="B49" s="95"/>
      <c r="C49" s="95"/>
      <c r="D49" s="95"/>
      <c r="E49" s="95"/>
      <c r="F49" s="95"/>
      <c r="G49" s="95"/>
      <c r="H49" s="95"/>
      <c r="I49" s="1"/>
      <c r="J49" s="1"/>
      <c r="K49" s="1"/>
      <c r="L49" s="1"/>
      <c r="M49" s="1"/>
      <c r="N49" s="1"/>
      <c r="O49" s="1"/>
      <c r="P49" s="1"/>
      <c r="Q49" s="1"/>
    </row>
    <row r="50" spans="1:17" ht="18.5" thickBot="1" x14ac:dyDescent="0.45">
      <c r="A50" s="96" t="s">
        <v>89</v>
      </c>
      <c r="B50" s="96"/>
      <c r="C50" s="96"/>
      <c r="D50" s="96"/>
      <c r="E50" s="96"/>
      <c r="F50" s="96"/>
      <c r="G50" s="96"/>
      <c r="H50" s="96"/>
      <c r="I50" s="1"/>
      <c r="J50" s="1"/>
      <c r="K50" s="1"/>
      <c r="L50" s="1"/>
      <c r="M50" s="1"/>
      <c r="N50" s="1"/>
      <c r="O50" s="1"/>
      <c r="P50" s="1"/>
      <c r="Q50" s="1"/>
    </row>
    <row r="51" spans="1:17" ht="18.5" thickBot="1" x14ac:dyDescent="0.45">
      <c r="A51" s="2" t="s">
        <v>0</v>
      </c>
      <c r="B51" s="3" t="s">
        <v>1</v>
      </c>
      <c r="C51" s="3" t="s">
        <v>90</v>
      </c>
      <c r="D51" s="3" t="s">
        <v>91</v>
      </c>
      <c r="E51" s="3" t="s">
        <v>0</v>
      </c>
      <c r="F51" s="3" t="s">
        <v>92</v>
      </c>
      <c r="G51" s="3" t="s">
        <v>90</v>
      </c>
      <c r="H51" s="4" t="s">
        <v>91</v>
      </c>
      <c r="I51" s="1"/>
      <c r="J51" s="1"/>
      <c r="K51" s="1"/>
      <c r="L51" s="1"/>
      <c r="M51" s="1"/>
      <c r="N51" s="1"/>
      <c r="O51" s="1"/>
      <c r="P51" s="1"/>
      <c r="Q51" s="1"/>
    </row>
    <row r="52" spans="1:17" ht="18" x14ac:dyDescent="0.4">
      <c r="A52" s="7" t="s">
        <v>18</v>
      </c>
      <c r="B52" s="8" t="s">
        <v>120</v>
      </c>
      <c r="C52" s="8"/>
      <c r="D52" s="9">
        <v>75000</v>
      </c>
      <c r="E52" s="8" t="s">
        <v>86</v>
      </c>
      <c r="F52" s="8" t="s">
        <v>117</v>
      </c>
      <c r="G52" s="8"/>
      <c r="H52" s="19">
        <f>H54</f>
        <v>75000</v>
      </c>
      <c r="I52" s="1"/>
      <c r="J52" s="1"/>
      <c r="K52" s="1"/>
      <c r="L52" s="1"/>
      <c r="M52" s="1"/>
      <c r="N52" s="1"/>
      <c r="O52" s="1"/>
      <c r="P52" s="1"/>
      <c r="Q52" s="1"/>
    </row>
    <row r="53" spans="1:17" ht="18" x14ac:dyDescent="0.4">
      <c r="A53" s="11"/>
      <c r="B53" s="5"/>
      <c r="C53" s="5"/>
      <c r="D53" s="5"/>
      <c r="E53" s="5"/>
      <c r="F53" s="5"/>
      <c r="G53" s="5"/>
      <c r="H53" s="13"/>
      <c r="I53" s="1"/>
      <c r="J53" s="1"/>
      <c r="K53" s="1"/>
      <c r="L53" s="1"/>
      <c r="M53" s="1"/>
      <c r="N53" s="1"/>
      <c r="O53" s="1"/>
      <c r="P53" s="1"/>
      <c r="Q53" s="1"/>
    </row>
    <row r="54" spans="1:17" ht="18" x14ac:dyDescent="0.4">
      <c r="A54" s="11"/>
      <c r="B54" s="5"/>
      <c r="C54" s="5"/>
      <c r="D54" s="18">
        <f>SUM(D52:D53)</f>
        <v>75000</v>
      </c>
      <c r="E54" s="5"/>
      <c r="F54" s="5"/>
      <c r="G54" s="5"/>
      <c r="H54" s="20">
        <f>D54</f>
        <v>75000</v>
      </c>
      <c r="I54" s="1"/>
      <c r="J54" s="1"/>
      <c r="K54" s="1"/>
      <c r="L54" s="1"/>
      <c r="M54" s="1"/>
      <c r="N54" s="1"/>
      <c r="O54" s="1"/>
      <c r="P54" s="1"/>
      <c r="Q54" s="1"/>
    </row>
    <row r="55" spans="1:17" ht="18.5" thickBot="1" x14ac:dyDescent="0.45">
      <c r="A55" s="15" t="s">
        <v>97</v>
      </c>
      <c r="B55" s="16" t="s">
        <v>118</v>
      </c>
      <c r="C55" s="16"/>
      <c r="D55" s="22">
        <v>75000</v>
      </c>
      <c r="E55" s="16"/>
      <c r="F55" s="16"/>
      <c r="G55" s="16"/>
      <c r="H55" s="17"/>
      <c r="I55" s="1"/>
      <c r="J55" s="1"/>
      <c r="K55" s="1"/>
      <c r="L55" s="1"/>
      <c r="M55" s="1"/>
      <c r="N55" s="1"/>
      <c r="O55" s="1"/>
      <c r="P55" s="1"/>
      <c r="Q55" s="1"/>
    </row>
    <row r="56" spans="1:17" ht="18" x14ac:dyDescent="0.4">
      <c r="A56" s="95" t="s">
        <v>124</v>
      </c>
      <c r="B56" s="95"/>
      <c r="C56" s="95"/>
      <c r="D56" s="95"/>
      <c r="E56" s="95"/>
      <c r="F56" s="95"/>
      <c r="G56" s="95"/>
      <c r="H56" s="95"/>
      <c r="I56" s="1"/>
      <c r="J56" s="1"/>
      <c r="K56" s="1"/>
      <c r="L56" s="1"/>
      <c r="M56" s="1"/>
      <c r="N56" s="1"/>
      <c r="O56" s="1"/>
      <c r="P56" s="1"/>
      <c r="Q56" s="1"/>
    </row>
    <row r="57" spans="1:17" ht="18.5" thickBot="1" x14ac:dyDescent="0.45">
      <c r="A57" s="96" t="s">
        <v>89</v>
      </c>
      <c r="B57" s="96"/>
      <c r="C57" s="96"/>
      <c r="D57" s="96"/>
      <c r="E57" s="96"/>
      <c r="F57" s="96"/>
      <c r="G57" s="96"/>
      <c r="H57" s="96"/>
      <c r="I57" s="1"/>
      <c r="J57" s="1"/>
      <c r="K57" s="1"/>
      <c r="L57" s="1"/>
      <c r="M57" s="1"/>
      <c r="N57" s="1"/>
      <c r="O57" s="1"/>
      <c r="P57" s="1"/>
      <c r="Q57" s="1"/>
    </row>
    <row r="58" spans="1:17" ht="18.5" thickBot="1" x14ac:dyDescent="0.45">
      <c r="A58" s="2" t="s">
        <v>0</v>
      </c>
      <c r="B58" s="3" t="s">
        <v>1</v>
      </c>
      <c r="C58" s="3" t="s">
        <v>90</v>
      </c>
      <c r="D58" s="3" t="s">
        <v>91</v>
      </c>
      <c r="E58" s="3" t="s">
        <v>0</v>
      </c>
      <c r="F58" s="3" t="s">
        <v>92</v>
      </c>
      <c r="G58" s="3" t="s">
        <v>90</v>
      </c>
      <c r="H58" s="4" t="s">
        <v>91</v>
      </c>
      <c r="I58" s="1"/>
      <c r="J58" s="1"/>
      <c r="K58" s="1"/>
      <c r="L58" s="1"/>
      <c r="M58" s="1"/>
      <c r="N58" s="1"/>
      <c r="O58" s="1"/>
      <c r="P58" s="1"/>
      <c r="Q58" s="1"/>
    </row>
    <row r="59" spans="1:17" ht="18" x14ac:dyDescent="0.4">
      <c r="A59" s="7" t="s">
        <v>21</v>
      </c>
      <c r="B59" s="8" t="s">
        <v>125</v>
      </c>
      <c r="C59" s="8"/>
      <c r="D59" s="9">
        <v>55000</v>
      </c>
      <c r="E59" s="8" t="s">
        <v>86</v>
      </c>
      <c r="F59" s="8" t="s">
        <v>117</v>
      </c>
      <c r="G59" s="8"/>
      <c r="H59" s="19">
        <f>H61</f>
        <v>55000</v>
      </c>
      <c r="I59" s="1"/>
      <c r="J59" s="1"/>
      <c r="K59" s="1"/>
      <c r="L59" s="1"/>
      <c r="M59" s="1"/>
      <c r="N59" s="1"/>
      <c r="O59" s="1"/>
      <c r="P59" s="1"/>
      <c r="Q59" s="1"/>
    </row>
    <row r="60" spans="1:17" ht="18" x14ac:dyDescent="0.4">
      <c r="A60" s="11"/>
      <c r="B60" s="5"/>
      <c r="C60" s="5"/>
      <c r="D60" s="5"/>
      <c r="E60" s="5"/>
      <c r="F60" s="5"/>
      <c r="G60" s="5"/>
      <c r="H60" s="13"/>
      <c r="I60" s="1"/>
      <c r="J60" s="1"/>
      <c r="K60" s="1"/>
      <c r="L60" s="1"/>
      <c r="M60" s="1"/>
      <c r="N60" s="1"/>
      <c r="O60" s="1"/>
      <c r="P60" s="1"/>
      <c r="Q60" s="1"/>
    </row>
    <row r="61" spans="1:17" ht="18" x14ac:dyDescent="0.4">
      <c r="A61" s="11"/>
      <c r="B61" s="5"/>
      <c r="C61" s="5"/>
      <c r="D61" s="18">
        <f>SUM(D59:D60)</f>
        <v>55000</v>
      </c>
      <c r="E61" s="5"/>
      <c r="F61" s="5"/>
      <c r="G61" s="5"/>
      <c r="H61" s="20">
        <f>D61</f>
        <v>55000</v>
      </c>
      <c r="I61" s="1"/>
      <c r="J61" s="1"/>
      <c r="K61" s="1"/>
      <c r="L61" s="1"/>
      <c r="M61" s="1"/>
      <c r="N61" s="1"/>
      <c r="O61" s="1"/>
      <c r="P61" s="1"/>
      <c r="Q61" s="1"/>
    </row>
    <row r="62" spans="1:17" ht="18.5" thickBot="1" x14ac:dyDescent="0.45">
      <c r="A62" s="15" t="s">
        <v>97</v>
      </c>
      <c r="B62" s="16" t="s">
        <v>118</v>
      </c>
      <c r="C62" s="16"/>
      <c r="D62" s="22">
        <f>D61</f>
        <v>55000</v>
      </c>
      <c r="E62" s="16"/>
      <c r="F62" s="16"/>
      <c r="G62" s="16"/>
      <c r="H62" s="17"/>
      <c r="I62" s="1"/>
      <c r="J62" s="1"/>
      <c r="K62" s="1"/>
      <c r="L62" s="1"/>
      <c r="M62" s="1"/>
      <c r="N62" s="1"/>
      <c r="O62" s="1"/>
      <c r="P62" s="1"/>
      <c r="Q62" s="1"/>
    </row>
    <row r="63" spans="1:17" ht="18" x14ac:dyDescent="0.4">
      <c r="A63" s="95" t="s">
        <v>126</v>
      </c>
      <c r="B63" s="95"/>
      <c r="C63" s="95"/>
      <c r="D63" s="95"/>
      <c r="E63" s="95"/>
      <c r="F63" s="95"/>
      <c r="G63" s="95"/>
      <c r="H63" s="95"/>
      <c r="I63" s="1"/>
      <c r="J63" s="1"/>
      <c r="K63" s="1"/>
      <c r="L63" s="1"/>
      <c r="M63" s="1"/>
      <c r="N63" s="1"/>
      <c r="O63" s="1"/>
      <c r="P63" s="1"/>
      <c r="Q63" s="1"/>
    </row>
    <row r="64" spans="1:17" ht="18.5" thickBot="1" x14ac:dyDescent="0.45">
      <c r="A64" s="96" t="s">
        <v>89</v>
      </c>
      <c r="B64" s="96"/>
      <c r="C64" s="96"/>
      <c r="D64" s="96"/>
      <c r="E64" s="96"/>
      <c r="F64" s="96"/>
      <c r="G64" s="96"/>
      <c r="H64" s="96"/>
      <c r="I64" s="1"/>
      <c r="J64" s="1"/>
      <c r="K64" s="1"/>
      <c r="L64" s="1"/>
      <c r="M64" s="1"/>
      <c r="N64" s="1"/>
      <c r="O64" s="1"/>
      <c r="P64" s="1"/>
      <c r="Q64" s="1"/>
    </row>
    <row r="65" spans="1:17" ht="18.5" thickBot="1" x14ac:dyDescent="0.45">
      <c r="A65" s="2" t="s">
        <v>0</v>
      </c>
      <c r="B65" s="3" t="s">
        <v>1</v>
      </c>
      <c r="C65" s="3" t="s">
        <v>90</v>
      </c>
      <c r="D65" s="3" t="s">
        <v>91</v>
      </c>
      <c r="E65" s="3" t="s">
        <v>0</v>
      </c>
      <c r="F65" s="3" t="s">
        <v>92</v>
      </c>
      <c r="G65" s="3" t="s">
        <v>90</v>
      </c>
      <c r="H65" s="4" t="s">
        <v>91</v>
      </c>
      <c r="I65" s="1"/>
      <c r="J65" s="1"/>
      <c r="K65" s="1"/>
      <c r="L65" s="1"/>
      <c r="M65" s="1"/>
      <c r="N65" s="1"/>
      <c r="O65" s="1"/>
      <c r="P65" s="1"/>
      <c r="Q65" s="1"/>
    </row>
    <row r="66" spans="1:17" ht="18" x14ac:dyDescent="0.4">
      <c r="A66" s="7" t="s">
        <v>62</v>
      </c>
      <c r="B66" s="8" t="s">
        <v>120</v>
      </c>
      <c r="C66" s="8"/>
      <c r="D66" s="9">
        <v>30000</v>
      </c>
      <c r="E66" s="8" t="s">
        <v>21</v>
      </c>
      <c r="F66" s="8" t="s">
        <v>127</v>
      </c>
      <c r="G66" s="8"/>
      <c r="H66" s="19">
        <v>55000</v>
      </c>
      <c r="I66" s="1"/>
      <c r="J66" s="1"/>
      <c r="K66" s="1"/>
      <c r="L66" s="1"/>
      <c r="M66" s="1"/>
      <c r="N66" s="1"/>
      <c r="O66" s="1"/>
      <c r="P66" s="1"/>
      <c r="Q66" s="1"/>
    </row>
    <row r="67" spans="1:17" ht="18" x14ac:dyDescent="0.4">
      <c r="A67" s="11" t="s">
        <v>86</v>
      </c>
      <c r="B67" s="5" t="s">
        <v>95</v>
      </c>
      <c r="C67" s="5"/>
      <c r="D67" s="6">
        <f>D68-D66</f>
        <v>25000</v>
      </c>
      <c r="E67" s="5"/>
      <c r="F67" s="5"/>
      <c r="G67" s="5"/>
      <c r="H67" s="13"/>
      <c r="I67" s="1"/>
      <c r="J67" s="1"/>
      <c r="K67" s="1"/>
      <c r="L67" s="1"/>
      <c r="M67" s="1"/>
      <c r="N67" s="1"/>
      <c r="O67" s="1"/>
      <c r="P67" s="1"/>
      <c r="Q67" s="1"/>
    </row>
    <row r="68" spans="1:17" ht="18" x14ac:dyDescent="0.4">
      <c r="A68" s="11"/>
      <c r="B68" s="5"/>
      <c r="C68" s="5"/>
      <c r="D68" s="18">
        <f>H68</f>
        <v>55000</v>
      </c>
      <c r="E68" s="5"/>
      <c r="F68" s="5"/>
      <c r="G68" s="5"/>
      <c r="H68" s="20">
        <f>SUM(H66:H67)</f>
        <v>55000</v>
      </c>
      <c r="I68" s="1"/>
      <c r="J68" s="1"/>
      <c r="K68" s="1"/>
      <c r="L68" s="1"/>
      <c r="M68" s="1"/>
      <c r="N68" s="1"/>
      <c r="O68" s="1"/>
      <c r="P68" s="1"/>
      <c r="Q68" s="1"/>
    </row>
    <row r="69" spans="1:17" ht="18.5" thickBot="1" x14ac:dyDescent="0.45">
      <c r="A69" s="15"/>
      <c r="B69" s="16"/>
      <c r="C69" s="16"/>
      <c r="D69" s="16"/>
      <c r="E69" s="16" t="s">
        <v>97</v>
      </c>
      <c r="F69" s="16" t="s">
        <v>94</v>
      </c>
      <c r="G69" s="16"/>
      <c r="H69" s="21">
        <v>25000</v>
      </c>
      <c r="I69" s="1"/>
      <c r="J69" s="1"/>
      <c r="K69" s="1"/>
      <c r="L69" s="1"/>
      <c r="M69" s="1"/>
      <c r="N69" s="1"/>
      <c r="O69" s="1"/>
      <c r="P69" s="1"/>
      <c r="Q69" s="1"/>
    </row>
    <row r="70" spans="1:17" ht="18" x14ac:dyDescent="0.4">
      <c r="A70" s="95" t="s">
        <v>128</v>
      </c>
      <c r="B70" s="95"/>
      <c r="C70" s="95"/>
      <c r="D70" s="95"/>
      <c r="E70" s="95"/>
      <c r="F70" s="95"/>
      <c r="G70" s="95"/>
      <c r="H70" s="95"/>
      <c r="I70" s="1"/>
      <c r="J70" s="1"/>
      <c r="K70" s="1"/>
      <c r="L70" s="1"/>
      <c r="M70" s="1"/>
      <c r="N70" s="1"/>
      <c r="O70" s="1"/>
      <c r="P70" s="1"/>
      <c r="Q70" s="1"/>
    </row>
    <row r="71" spans="1:17" ht="18.5" thickBot="1" x14ac:dyDescent="0.45">
      <c r="A71" s="96" t="s">
        <v>89</v>
      </c>
      <c r="B71" s="96"/>
      <c r="C71" s="96"/>
      <c r="D71" s="96"/>
      <c r="E71" s="96"/>
      <c r="F71" s="96"/>
      <c r="G71" s="96"/>
      <c r="H71" s="96"/>
      <c r="I71" s="1"/>
      <c r="J71" s="1"/>
      <c r="K71" s="1"/>
      <c r="L71" s="1"/>
      <c r="M71" s="1"/>
      <c r="N71" s="1"/>
      <c r="O71" s="1"/>
      <c r="P71" s="1"/>
      <c r="Q71" s="1"/>
    </row>
    <row r="72" spans="1:17" ht="18.5" thickBot="1" x14ac:dyDescent="0.45">
      <c r="A72" s="2" t="s">
        <v>0</v>
      </c>
      <c r="B72" s="3" t="s">
        <v>1</v>
      </c>
      <c r="C72" s="3" t="s">
        <v>90</v>
      </c>
      <c r="D72" s="3" t="s">
        <v>91</v>
      </c>
      <c r="E72" s="3" t="s">
        <v>0</v>
      </c>
      <c r="F72" s="3" t="s">
        <v>92</v>
      </c>
      <c r="G72" s="3" t="s">
        <v>90</v>
      </c>
      <c r="H72" s="4" t="s">
        <v>91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ht="18" x14ac:dyDescent="0.4">
      <c r="A73" s="7" t="s">
        <v>30</v>
      </c>
      <c r="B73" s="8" t="s">
        <v>120</v>
      </c>
      <c r="C73" s="8"/>
      <c r="D73" s="9">
        <v>15000</v>
      </c>
      <c r="E73" s="8" t="s">
        <v>86</v>
      </c>
      <c r="F73" s="8" t="s">
        <v>117</v>
      </c>
      <c r="G73" s="8"/>
      <c r="H73" s="19">
        <v>39000</v>
      </c>
      <c r="I73" s="1"/>
      <c r="J73" s="1"/>
      <c r="K73" s="1"/>
      <c r="L73" s="1"/>
      <c r="M73" s="1"/>
      <c r="N73" s="1"/>
      <c r="O73" s="1"/>
      <c r="P73" s="1"/>
      <c r="Q73" s="1"/>
    </row>
    <row r="74" spans="1:17" ht="18" x14ac:dyDescent="0.4">
      <c r="A74" s="11" t="s">
        <v>42</v>
      </c>
      <c r="B74" s="5" t="s">
        <v>129</v>
      </c>
      <c r="C74" s="5"/>
      <c r="D74" s="6">
        <v>8000</v>
      </c>
      <c r="E74" s="5"/>
      <c r="F74" s="5"/>
      <c r="G74" s="5"/>
      <c r="H74" s="13"/>
      <c r="I74" s="1"/>
      <c r="J74" s="1"/>
      <c r="K74" s="1"/>
      <c r="L74" s="1"/>
      <c r="M74" s="1"/>
      <c r="N74" s="1"/>
      <c r="O74" s="1"/>
      <c r="P74" s="1"/>
      <c r="Q74" s="1"/>
    </row>
    <row r="75" spans="1:17" ht="18" x14ac:dyDescent="0.4">
      <c r="A75" s="11" t="s">
        <v>60</v>
      </c>
      <c r="B75" s="5" t="s">
        <v>120</v>
      </c>
      <c r="C75" s="5"/>
      <c r="D75" s="6">
        <v>16000</v>
      </c>
      <c r="E75" s="5"/>
      <c r="F75" s="5"/>
      <c r="G75" s="5"/>
      <c r="H75" s="13"/>
      <c r="I75" s="1"/>
      <c r="J75" s="1"/>
      <c r="K75" s="1"/>
      <c r="L75" s="1"/>
      <c r="M75" s="1"/>
      <c r="N75" s="1"/>
      <c r="O75" s="1"/>
      <c r="P75" s="1"/>
      <c r="Q75" s="1"/>
    </row>
    <row r="76" spans="1:17" ht="18" x14ac:dyDescent="0.4">
      <c r="A76" s="11"/>
      <c r="B76" s="5"/>
      <c r="C76" s="5"/>
      <c r="D76" s="5"/>
      <c r="E76" s="5"/>
      <c r="F76" s="5"/>
      <c r="G76" s="5"/>
      <c r="H76" s="13"/>
      <c r="I76" s="1"/>
      <c r="J76" s="1"/>
      <c r="K76" s="1"/>
      <c r="L76" s="1"/>
      <c r="M76" s="1"/>
      <c r="N76" s="1"/>
      <c r="O76" s="1"/>
      <c r="P76" s="1"/>
      <c r="Q76" s="1"/>
    </row>
    <row r="77" spans="1:17" ht="18" x14ac:dyDescent="0.4">
      <c r="A77" s="11"/>
      <c r="B77" s="5"/>
      <c r="C77" s="5"/>
      <c r="D77" s="18">
        <f>SUM(D73:D76)</f>
        <v>39000</v>
      </c>
      <c r="E77" s="5"/>
      <c r="F77" s="5"/>
      <c r="G77" s="5"/>
      <c r="H77" s="20">
        <f>SUM(D73:D75)</f>
        <v>39000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ht="18.5" thickBot="1" x14ac:dyDescent="0.45">
      <c r="A78" s="15" t="s">
        <v>97</v>
      </c>
      <c r="B78" s="16" t="s">
        <v>118</v>
      </c>
      <c r="C78" s="16"/>
      <c r="D78" s="22">
        <v>39000</v>
      </c>
      <c r="E78" s="16"/>
      <c r="F78" s="16"/>
      <c r="G78" s="16"/>
      <c r="H78" s="17"/>
      <c r="I78" s="1"/>
      <c r="J78" s="1"/>
      <c r="K78" s="1"/>
      <c r="L78" s="1"/>
      <c r="M78" s="1"/>
      <c r="N78" s="1"/>
      <c r="O78" s="1"/>
      <c r="P78" s="1"/>
      <c r="Q78" s="1"/>
    </row>
    <row r="79" spans="1:17" ht="18" x14ac:dyDescent="0.4">
      <c r="A79" s="95" t="s">
        <v>130</v>
      </c>
      <c r="B79" s="95"/>
      <c r="C79" s="95"/>
      <c r="D79" s="95"/>
      <c r="E79" s="95"/>
      <c r="F79" s="95"/>
      <c r="G79" s="95"/>
      <c r="H79" s="95"/>
      <c r="I79" s="1"/>
      <c r="J79" s="1"/>
      <c r="K79" s="1"/>
      <c r="L79" s="1"/>
      <c r="M79" s="1"/>
      <c r="N79" s="1"/>
      <c r="O79" s="1"/>
      <c r="P79" s="1"/>
      <c r="Q79" s="1"/>
    </row>
    <row r="80" spans="1:17" ht="18.5" thickBot="1" x14ac:dyDescent="0.45">
      <c r="A80" s="96" t="s">
        <v>89</v>
      </c>
      <c r="B80" s="96"/>
      <c r="C80" s="96"/>
      <c r="D80" s="96"/>
      <c r="E80" s="96"/>
      <c r="F80" s="96"/>
      <c r="G80" s="96"/>
      <c r="H80" s="96"/>
      <c r="I80" s="1"/>
      <c r="J80" s="1"/>
      <c r="K80" s="1"/>
      <c r="L80" s="1"/>
      <c r="M80" s="1"/>
      <c r="N80" s="1"/>
      <c r="O80" s="1"/>
      <c r="P80" s="1"/>
      <c r="Q80" s="1"/>
    </row>
    <row r="81" spans="1:17" ht="18.5" thickBot="1" x14ac:dyDescent="0.45">
      <c r="A81" s="2" t="s">
        <v>0</v>
      </c>
      <c r="B81" s="3" t="s">
        <v>1</v>
      </c>
      <c r="C81" s="3" t="s">
        <v>90</v>
      </c>
      <c r="D81" s="3" t="s">
        <v>91</v>
      </c>
      <c r="E81" s="3" t="s">
        <v>0</v>
      </c>
      <c r="F81" s="3" t="s">
        <v>92</v>
      </c>
      <c r="G81" s="3" t="s">
        <v>90</v>
      </c>
      <c r="H81" s="4" t="s">
        <v>91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ht="18" x14ac:dyDescent="0.4">
      <c r="A82" s="7" t="s">
        <v>86</v>
      </c>
      <c r="B82" s="8" t="s">
        <v>95</v>
      </c>
      <c r="C82" s="8"/>
      <c r="D82" s="9">
        <v>50200</v>
      </c>
      <c r="E82" s="8" t="s">
        <v>31</v>
      </c>
      <c r="F82" s="8" t="s">
        <v>131</v>
      </c>
      <c r="G82" s="8"/>
      <c r="H82" s="19">
        <v>4800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ht="18" x14ac:dyDescent="0.4">
      <c r="A83" s="11"/>
      <c r="B83" s="5"/>
      <c r="C83" s="5"/>
      <c r="D83" s="5"/>
      <c r="E83" s="5" t="s">
        <v>37</v>
      </c>
      <c r="F83" s="5" t="s">
        <v>131</v>
      </c>
      <c r="G83" s="5"/>
      <c r="H83" s="12">
        <v>5500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ht="18" x14ac:dyDescent="0.4">
      <c r="A84" s="11"/>
      <c r="B84" s="5"/>
      <c r="C84" s="5"/>
      <c r="D84" s="5"/>
      <c r="E84" s="5" t="s">
        <v>45</v>
      </c>
      <c r="F84" s="5" t="s">
        <v>131</v>
      </c>
      <c r="G84" s="5"/>
      <c r="H84" s="12">
        <v>6300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ht="18" x14ac:dyDescent="0.4">
      <c r="A85" s="11"/>
      <c r="B85" s="5"/>
      <c r="C85" s="5"/>
      <c r="D85" s="5"/>
      <c r="E85" s="5" t="s">
        <v>54</v>
      </c>
      <c r="F85" s="5" t="s">
        <v>131</v>
      </c>
      <c r="G85" s="5"/>
      <c r="H85" s="12">
        <v>7100</v>
      </c>
      <c r="I85" s="1"/>
      <c r="J85" s="1"/>
      <c r="K85" s="1"/>
      <c r="L85" s="1"/>
      <c r="M85" s="1"/>
      <c r="N85" s="1"/>
      <c r="O85" s="1"/>
      <c r="P85" s="1"/>
      <c r="Q85" s="1"/>
    </row>
    <row r="86" spans="1:17" ht="18" x14ac:dyDescent="0.4">
      <c r="A86" s="11"/>
      <c r="B86" s="5"/>
      <c r="C86" s="5"/>
      <c r="D86" s="5"/>
      <c r="E86" s="5" t="s">
        <v>65</v>
      </c>
      <c r="F86" s="5" t="s">
        <v>131</v>
      </c>
      <c r="G86" s="5"/>
      <c r="H86" s="12">
        <v>8200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ht="18" x14ac:dyDescent="0.4">
      <c r="A87" s="11"/>
      <c r="B87" s="5"/>
      <c r="C87" s="5"/>
      <c r="D87" s="5"/>
      <c r="E87" s="5" t="s">
        <v>71</v>
      </c>
      <c r="F87" s="5" t="s">
        <v>131</v>
      </c>
      <c r="G87" s="5"/>
      <c r="H87" s="12">
        <v>9500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ht="18" x14ac:dyDescent="0.4">
      <c r="A88" s="11"/>
      <c r="B88" s="5"/>
      <c r="C88" s="5"/>
      <c r="D88" s="5"/>
      <c r="E88" s="5" t="s">
        <v>77</v>
      </c>
      <c r="F88" s="5" t="s">
        <v>131</v>
      </c>
      <c r="G88" s="5"/>
      <c r="H88" s="12">
        <v>8800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ht="18" x14ac:dyDescent="0.4">
      <c r="A89" s="11"/>
      <c r="B89" s="5"/>
      <c r="C89" s="5"/>
      <c r="D89" s="5"/>
      <c r="E89" s="5"/>
      <c r="F89" s="5"/>
      <c r="G89" s="5"/>
      <c r="H89" s="13"/>
      <c r="I89" s="1"/>
      <c r="J89" s="1"/>
      <c r="K89" s="1"/>
      <c r="L89" s="1"/>
      <c r="M89" s="1"/>
      <c r="N89" s="1"/>
      <c r="O89" s="1"/>
      <c r="P89" s="1"/>
      <c r="Q89" s="1"/>
    </row>
    <row r="90" spans="1:17" ht="18" x14ac:dyDescent="0.4">
      <c r="A90" s="11"/>
      <c r="B90" s="5"/>
      <c r="C90" s="5"/>
      <c r="D90" s="18">
        <v>50200</v>
      </c>
      <c r="E90" s="5"/>
      <c r="F90" s="5"/>
      <c r="G90" s="5"/>
      <c r="H90" s="20">
        <f>SUM(H82:H89)</f>
        <v>50200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ht="18.5" thickBot="1" x14ac:dyDescent="0.45">
      <c r="A91" s="15"/>
      <c r="B91" s="16"/>
      <c r="C91" s="16"/>
      <c r="D91" s="16"/>
      <c r="E91" s="16" t="s">
        <v>97</v>
      </c>
      <c r="F91" s="16" t="s">
        <v>132</v>
      </c>
      <c r="G91" s="16"/>
      <c r="H91" s="21">
        <v>50200</v>
      </c>
      <c r="I91" s="1"/>
      <c r="J91" s="1"/>
      <c r="K91" s="1"/>
      <c r="L91" s="1"/>
      <c r="M91" s="1"/>
      <c r="N91" s="1"/>
      <c r="O91" s="1"/>
      <c r="P91" s="1"/>
      <c r="Q91" s="1"/>
    </row>
    <row r="92" spans="1:17" ht="18" x14ac:dyDescent="0.4">
      <c r="A92" s="95" t="s">
        <v>133</v>
      </c>
      <c r="B92" s="95"/>
      <c r="C92" s="95"/>
      <c r="D92" s="95"/>
      <c r="E92" s="95"/>
      <c r="F92" s="95"/>
      <c r="G92" s="95"/>
      <c r="H92" s="95"/>
      <c r="I92" s="1"/>
      <c r="J92" s="1"/>
      <c r="K92" s="1"/>
      <c r="L92" s="1"/>
      <c r="M92" s="1"/>
      <c r="N92" s="1"/>
      <c r="O92" s="1"/>
      <c r="P92" s="1"/>
      <c r="Q92" s="1"/>
    </row>
    <row r="93" spans="1:17" ht="18.5" thickBot="1" x14ac:dyDescent="0.45">
      <c r="A93" s="96" t="s">
        <v>89</v>
      </c>
      <c r="B93" s="96"/>
      <c r="C93" s="96"/>
      <c r="D93" s="96"/>
      <c r="E93" s="96"/>
      <c r="F93" s="96"/>
      <c r="G93" s="96"/>
      <c r="H93" s="96"/>
      <c r="I93" s="1"/>
      <c r="J93" s="1"/>
      <c r="K93" s="1"/>
      <c r="L93" s="1"/>
      <c r="M93" s="1"/>
      <c r="N93" s="1"/>
      <c r="O93" s="1"/>
      <c r="P93" s="1"/>
      <c r="Q93" s="1"/>
    </row>
    <row r="94" spans="1:17" ht="18.5" thickBot="1" x14ac:dyDescent="0.45">
      <c r="A94" s="2" t="s">
        <v>0</v>
      </c>
      <c r="B94" s="3" t="s">
        <v>1</v>
      </c>
      <c r="C94" s="3" t="s">
        <v>90</v>
      </c>
      <c r="D94" s="3" t="s">
        <v>91</v>
      </c>
      <c r="E94" s="3" t="s">
        <v>0</v>
      </c>
      <c r="F94" s="3" t="s">
        <v>92</v>
      </c>
      <c r="G94" s="3" t="s">
        <v>90</v>
      </c>
      <c r="H94" s="4" t="s">
        <v>91</v>
      </c>
      <c r="I94" s="1"/>
      <c r="J94" s="1"/>
      <c r="K94" s="1"/>
      <c r="L94" s="1"/>
      <c r="M94" s="1"/>
      <c r="N94" s="1"/>
      <c r="O94" s="1"/>
      <c r="P94" s="1"/>
      <c r="Q94" s="1"/>
    </row>
    <row r="95" spans="1:17" ht="18" x14ac:dyDescent="0.4">
      <c r="A95" s="7" t="s">
        <v>34</v>
      </c>
      <c r="B95" s="8" t="s">
        <v>120</v>
      </c>
      <c r="C95" s="8"/>
      <c r="D95" s="9">
        <v>3000</v>
      </c>
      <c r="E95" s="8" t="s">
        <v>86</v>
      </c>
      <c r="F95" s="8" t="s">
        <v>134</v>
      </c>
      <c r="G95" s="8"/>
      <c r="H95" s="19">
        <f>(D97)</f>
        <v>3000</v>
      </c>
      <c r="I95" s="1"/>
      <c r="J95" s="1"/>
      <c r="K95" s="1"/>
      <c r="L95" s="1"/>
      <c r="M95" s="1"/>
      <c r="N95" s="1"/>
      <c r="O95" s="1"/>
      <c r="P95" s="1"/>
      <c r="Q95" s="1"/>
    </row>
    <row r="96" spans="1:17" ht="18" x14ac:dyDescent="0.4">
      <c r="A96" s="11"/>
      <c r="B96" s="5"/>
      <c r="C96" s="5"/>
      <c r="D96" s="5"/>
      <c r="E96" s="5"/>
      <c r="F96" s="5"/>
      <c r="G96" s="5"/>
      <c r="H96" s="13"/>
      <c r="I96" s="1"/>
      <c r="J96" s="1"/>
      <c r="K96" s="1"/>
      <c r="L96" s="1"/>
      <c r="M96" s="1"/>
      <c r="N96" s="1"/>
      <c r="O96" s="1"/>
      <c r="P96" s="1"/>
      <c r="Q96" s="1"/>
    </row>
    <row r="97" spans="1:17" ht="18" x14ac:dyDescent="0.4">
      <c r="A97" s="11"/>
      <c r="B97" s="5"/>
      <c r="C97" s="5"/>
      <c r="D97" s="18">
        <f>SUM(D95:D96)</f>
        <v>3000</v>
      </c>
      <c r="E97" s="5"/>
      <c r="F97" s="5"/>
      <c r="G97" s="5"/>
      <c r="H97" s="20">
        <f>(D97)</f>
        <v>3000</v>
      </c>
      <c r="I97" s="1"/>
      <c r="J97" s="1"/>
      <c r="K97" s="1"/>
      <c r="L97" s="1"/>
      <c r="M97" s="1"/>
      <c r="N97" s="1"/>
      <c r="O97" s="1"/>
      <c r="P97" s="1"/>
      <c r="Q97" s="1"/>
    </row>
    <row r="98" spans="1:17" ht="18.5" thickBot="1" x14ac:dyDescent="0.45">
      <c r="A98" s="15" t="s">
        <v>97</v>
      </c>
      <c r="B98" s="16" t="s">
        <v>118</v>
      </c>
      <c r="C98" s="16"/>
      <c r="D98" s="22">
        <v>3000</v>
      </c>
      <c r="E98" s="16"/>
      <c r="F98" s="16"/>
      <c r="G98" s="16"/>
      <c r="H98" s="17"/>
      <c r="I98" s="1"/>
      <c r="J98" s="1"/>
      <c r="K98" s="1"/>
      <c r="L98" s="1"/>
      <c r="M98" s="1"/>
      <c r="N98" s="1"/>
      <c r="O98" s="1"/>
      <c r="P98" s="1"/>
      <c r="Q98" s="1"/>
    </row>
    <row r="99" spans="1:17" ht="18" x14ac:dyDescent="0.4">
      <c r="A99" s="95" t="s">
        <v>136</v>
      </c>
      <c r="B99" s="95"/>
      <c r="C99" s="95"/>
      <c r="D99" s="95"/>
      <c r="E99" s="95"/>
      <c r="F99" s="95"/>
      <c r="G99" s="95"/>
      <c r="H99" s="95"/>
      <c r="I99" s="1"/>
      <c r="J99" s="1"/>
      <c r="K99" s="1"/>
      <c r="L99" s="1"/>
      <c r="M99" s="1"/>
      <c r="N99" s="1"/>
      <c r="O99" s="1"/>
      <c r="P99" s="1"/>
      <c r="Q99" s="1"/>
    </row>
    <row r="100" spans="1:17" ht="18.5" thickBot="1" x14ac:dyDescent="0.45">
      <c r="A100" s="96" t="s">
        <v>89</v>
      </c>
      <c r="B100" s="96"/>
      <c r="C100" s="96"/>
      <c r="D100" s="96"/>
      <c r="E100" s="96"/>
      <c r="F100" s="96"/>
      <c r="G100" s="96"/>
      <c r="H100" s="96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.5" thickBot="1" x14ac:dyDescent="0.45">
      <c r="A101" s="2" t="s">
        <v>0</v>
      </c>
      <c r="B101" s="3" t="s">
        <v>1</v>
      </c>
      <c r="C101" s="3" t="s">
        <v>90</v>
      </c>
      <c r="D101" s="3" t="s">
        <v>91</v>
      </c>
      <c r="E101" s="3" t="s">
        <v>0</v>
      </c>
      <c r="F101" s="3" t="s">
        <v>92</v>
      </c>
      <c r="G101" s="3" t="s">
        <v>90</v>
      </c>
      <c r="H101" s="4" t="s">
        <v>91</v>
      </c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" x14ac:dyDescent="0.4">
      <c r="A102" s="7" t="s">
        <v>25</v>
      </c>
      <c r="B102" s="8" t="s">
        <v>120</v>
      </c>
      <c r="C102" s="8"/>
      <c r="D102" s="9">
        <v>2500</v>
      </c>
      <c r="E102" s="8" t="s">
        <v>86</v>
      </c>
      <c r="F102" s="8" t="s">
        <v>117</v>
      </c>
      <c r="G102" s="8"/>
      <c r="H102" s="19">
        <f>H104</f>
        <v>2500</v>
      </c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" x14ac:dyDescent="0.4">
      <c r="A103" s="11"/>
      <c r="B103" s="5"/>
      <c r="C103" s="5"/>
      <c r="D103" s="5"/>
      <c r="E103" s="5"/>
      <c r="F103" s="5"/>
      <c r="G103" s="5"/>
      <c r="H103" s="13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" x14ac:dyDescent="0.4">
      <c r="A104" s="11"/>
      <c r="B104" s="5"/>
      <c r="C104" s="5"/>
      <c r="D104" s="18">
        <f>SUM(D102:D103)</f>
        <v>2500</v>
      </c>
      <c r="E104" s="5"/>
      <c r="F104" s="5"/>
      <c r="G104" s="5"/>
      <c r="H104" s="20">
        <f>D104</f>
        <v>2500</v>
      </c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.5" thickBot="1" x14ac:dyDescent="0.45">
      <c r="A105" s="15" t="s">
        <v>97</v>
      </c>
      <c r="B105" s="16" t="s">
        <v>118</v>
      </c>
      <c r="C105" s="16"/>
      <c r="D105" s="22">
        <v>2500</v>
      </c>
      <c r="E105" s="16"/>
      <c r="F105" s="16"/>
      <c r="G105" s="16"/>
      <c r="H105" s="17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" x14ac:dyDescent="0.4">
      <c r="A106" s="95" t="s">
        <v>137</v>
      </c>
      <c r="B106" s="95"/>
      <c r="C106" s="95"/>
      <c r="D106" s="95"/>
      <c r="E106" s="95"/>
      <c r="F106" s="95"/>
      <c r="G106" s="95"/>
      <c r="H106" s="95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.5" thickBot="1" x14ac:dyDescent="0.45">
      <c r="A107" s="96" t="s">
        <v>89</v>
      </c>
      <c r="B107" s="96"/>
      <c r="C107" s="96"/>
      <c r="D107" s="96"/>
      <c r="E107" s="96"/>
      <c r="F107" s="96"/>
      <c r="G107" s="96"/>
      <c r="H107" s="96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.5" thickBot="1" x14ac:dyDescent="0.45">
      <c r="A108" s="2" t="s">
        <v>0</v>
      </c>
      <c r="B108" s="3" t="s">
        <v>1</v>
      </c>
      <c r="C108" s="3" t="s">
        <v>90</v>
      </c>
      <c r="D108" s="3" t="s">
        <v>91</v>
      </c>
      <c r="E108" s="3" t="s">
        <v>0</v>
      </c>
      <c r="F108" s="3" t="s">
        <v>92</v>
      </c>
      <c r="G108" s="3" t="s">
        <v>90</v>
      </c>
      <c r="H108" s="4" t="s">
        <v>91</v>
      </c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" x14ac:dyDescent="0.4">
      <c r="A109" s="7" t="s">
        <v>39</v>
      </c>
      <c r="B109" s="8" t="s">
        <v>120</v>
      </c>
      <c r="C109" s="8"/>
      <c r="D109" s="9">
        <v>2200</v>
      </c>
      <c r="E109" s="8" t="s">
        <v>86</v>
      </c>
      <c r="F109" s="8" t="s">
        <v>117</v>
      </c>
      <c r="G109" s="8"/>
      <c r="H109" s="19">
        <f>H112</f>
        <v>4700</v>
      </c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" x14ac:dyDescent="0.4">
      <c r="A110" s="11" t="s">
        <v>42</v>
      </c>
      <c r="B110" s="5" t="s">
        <v>120</v>
      </c>
      <c r="C110" s="5"/>
      <c r="D110" s="6">
        <v>2500</v>
      </c>
      <c r="E110" s="5"/>
      <c r="F110" s="5"/>
      <c r="G110" s="5"/>
      <c r="H110" s="13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" x14ac:dyDescent="0.4">
      <c r="A111" s="11"/>
      <c r="B111" s="5"/>
      <c r="C111" s="5"/>
      <c r="D111" s="6"/>
      <c r="E111" s="5"/>
      <c r="F111" s="5"/>
      <c r="G111" s="5"/>
      <c r="H111" s="12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" x14ac:dyDescent="0.4">
      <c r="A112" s="11"/>
      <c r="B112" s="5"/>
      <c r="C112" s="5"/>
      <c r="D112" s="18">
        <f>SUM(D109:D111)</f>
        <v>4700</v>
      </c>
      <c r="E112" s="5"/>
      <c r="F112" s="5"/>
      <c r="G112" s="5"/>
      <c r="H112" s="20">
        <f>D112</f>
        <v>4700</v>
      </c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.5" thickBot="1" x14ac:dyDescent="0.45">
      <c r="A113" s="15" t="s">
        <v>97</v>
      </c>
      <c r="B113" s="16" t="s">
        <v>118</v>
      </c>
      <c r="C113" s="16"/>
      <c r="D113" s="22">
        <v>4700</v>
      </c>
      <c r="E113" s="16"/>
      <c r="F113" s="16"/>
      <c r="G113" s="16"/>
      <c r="H113" s="17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" x14ac:dyDescent="0.4">
      <c r="A114" s="95" t="s">
        <v>138</v>
      </c>
      <c r="B114" s="95"/>
      <c r="C114" s="95"/>
      <c r="D114" s="95"/>
      <c r="E114" s="95"/>
      <c r="F114" s="95"/>
      <c r="G114" s="95"/>
      <c r="H114" s="95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.5" thickBot="1" x14ac:dyDescent="0.45">
      <c r="A115" s="96" t="s">
        <v>89</v>
      </c>
      <c r="B115" s="96"/>
      <c r="C115" s="96"/>
      <c r="D115" s="96"/>
      <c r="E115" s="96"/>
      <c r="F115" s="96"/>
      <c r="G115" s="96"/>
      <c r="H115" s="96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.5" thickBot="1" x14ac:dyDescent="0.45">
      <c r="A116" s="2" t="s">
        <v>0</v>
      </c>
      <c r="B116" s="3" t="s">
        <v>1</v>
      </c>
      <c r="C116" s="3" t="s">
        <v>90</v>
      </c>
      <c r="D116" s="3" t="s">
        <v>91</v>
      </c>
      <c r="E116" s="3" t="s">
        <v>0</v>
      </c>
      <c r="F116" s="3" t="s">
        <v>92</v>
      </c>
      <c r="G116" s="3" t="s">
        <v>90</v>
      </c>
      <c r="H116" s="4" t="s">
        <v>91</v>
      </c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" x14ac:dyDescent="0.4">
      <c r="A117" s="7" t="s">
        <v>48</v>
      </c>
      <c r="B117" s="8" t="s">
        <v>120</v>
      </c>
      <c r="C117" s="8"/>
      <c r="D117" s="9">
        <v>8000</v>
      </c>
      <c r="E117" s="8" t="s">
        <v>42</v>
      </c>
      <c r="F117" s="8" t="s">
        <v>102</v>
      </c>
      <c r="G117" s="8"/>
      <c r="H117" s="19">
        <v>8000</v>
      </c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" x14ac:dyDescent="0.4">
      <c r="A118" s="11"/>
      <c r="B118" s="5"/>
      <c r="C118" s="5"/>
      <c r="D118" s="5"/>
      <c r="E118" s="5"/>
      <c r="F118" s="5"/>
      <c r="G118" s="5"/>
      <c r="H118" s="12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.5" thickBot="1" x14ac:dyDescent="0.45">
      <c r="A119" s="15"/>
      <c r="B119" s="16"/>
      <c r="C119" s="16"/>
      <c r="D119" s="23">
        <f>SUM(D117:D118)</f>
        <v>8000</v>
      </c>
      <c r="E119" s="16"/>
      <c r="F119" s="16"/>
      <c r="G119" s="16"/>
      <c r="H119" s="24">
        <f>D119</f>
        <v>8000</v>
      </c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" x14ac:dyDescent="0.4">
      <c r="A120" s="95" t="s">
        <v>135</v>
      </c>
      <c r="B120" s="95"/>
      <c r="C120" s="95"/>
      <c r="D120" s="95"/>
      <c r="E120" s="95"/>
      <c r="F120" s="95"/>
      <c r="G120" s="95"/>
      <c r="H120" s="95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.5" thickBot="1" x14ac:dyDescent="0.45">
      <c r="A121" s="96" t="s">
        <v>89</v>
      </c>
      <c r="B121" s="96"/>
      <c r="C121" s="96"/>
      <c r="D121" s="96"/>
      <c r="E121" s="96"/>
      <c r="F121" s="96"/>
      <c r="G121" s="96"/>
      <c r="H121" s="96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.5" thickBot="1" x14ac:dyDescent="0.45">
      <c r="A122" s="2" t="s">
        <v>0</v>
      </c>
      <c r="B122" s="3" t="s">
        <v>1</v>
      </c>
      <c r="C122" s="3" t="s">
        <v>90</v>
      </c>
      <c r="D122" s="3" t="s">
        <v>91</v>
      </c>
      <c r="E122" s="3" t="s">
        <v>0</v>
      </c>
      <c r="F122" s="3" t="s">
        <v>92</v>
      </c>
      <c r="G122" s="3" t="s">
        <v>90</v>
      </c>
      <c r="H122" s="4" t="s">
        <v>91</v>
      </c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" x14ac:dyDescent="0.4">
      <c r="A123" s="7" t="s">
        <v>51</v>
      </c>
      <c r="B123" s="8" t="s">
        <v>120</v>
      </c>
      <c r="C123" s="8"/>
      <c r="D123" s="8">
        <v>800</v>
      </c>
      <c r="E123" s="8" t="s">
        <v>86</v>
      </c>
      <c r="F123" s="8" t="s">
        <v>117</v>
      </c>
      <c r="G123" s="8"/>
      <c r="H123" s="10">
        <f>H125</f>
        <v>800</v>
      </c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" x14ac:dyDescent="0.4">
      <c r="A124" s="11"/>
      <c r="B124" s="5"/>
      <c r="C124" s="5"/>
      <c r="D124" s="5"/>
      <c r="E124" s="5"/>
      <c r="F124" s="5"/>
      <c r="G124" s="5"/>
      <c r="H124" s="13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" x14ac:dyDescent="0.4">
      <c r="A125" s="11"/>
      <c r="B125" s="5"/>
      <c r="C125" s="5"/>
      <c r="D125" s="25">
        <f>SUM(D123:D124)</f>
        <v>800</v>
      </c>
      <c r="E125" s="5"/>
      <c r="F125" s="5"/>
      <c r="G125" s="5"/>
      <c r="H125" s="26">
        <f>D125</f>
        <v>800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.5" thickBot="1" x14ac:dyDescent="0.45">
      <c r="A126" s="15" t="s">
        <v>97</v>
      </c>
      <c r="B126" s="16" t="s">
        <v>118</v>
      </c>
      <c r="C126" s="16"/>
      <c r="D126" s="16">
        <v>800</v>
      </c>
      <c r="E126" s="16"/>
      <c r="F126" s="16"/>
      <c r="G126" s="16"/>
      <c r="H126" s="17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" x14ac:dyDescent="0.4">
      <c r="A127" s="95" t="s">
        <v>139</v>
      </c>
      <c r="B127" s="95"/>
      <c r="C127" s="95"/>
      <c r="D127" s="95"/>
      <c r="E127" s="95"/>
      <c r="F127" s="95"/>
      <c r="G127" s="95"/>
      <c r="H127" s="95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.5" thickBot="1" x14ac:dyDescent="0.45">
      <c r="A128" s="96" t="s">
        <v>89</v>
      </c>
      <c r="B128" s="96"/>
      <c r="C128" s="96"/>
      <c r="D128" s="96"/>
      <c r="E128" s="96"/>
      <c r="F128" s="96"/>
      <c r="G128" s="96"/>
      <c r="H128" s="96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.5" thickBot="1" x14ac:dyDescent="0.45">
      <c r="A129" s="2" t="s">
        <v>0</v>
      </c>
      <c r="B129" s="3" t="s">
        <v>1</v>
      </c>
      <c r="C129" s="3" t="s">
        <v>90</v>
      </c>
      <c r="D129" s="3" t="s">
        <v>91</v>
      </c>
      <c r="E129" s="3" t="s">
        <v>0</v>
      </c>
      <c r="F129" s="3" t="s">
        <v>92</v>
      </c>
      <c r="G129" s="3" t="s">
        <v>90</v>
      </c>
      <c r="H129" s="4" t="s">
        <v>91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" x14ac:dyDescent="0.4">
      <c r="A130" s="7" t="s">
        <v>55</v>
      </c>
      <c r="B130" s="8" t="s">
        <v>120</v>
      </c>
      <c r="C130" s="8"/>
      <c r="D130" s="9">
        <v>24000</v>
      </c>
      <c r="E130" s="8" t="s">
        <v>86</v>
      </c>
      <c r="F130" s="8" t="s">
        <v>117</v>
      </c>
      <c r="G130" s="8"/>
      <c r="H130" s="19">
        <f>H133</f>
        <v>48000</v>
      </c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" x14ac:dyDescent="0.4">
      <c r="A131" s="11" t="s">
        <v>86</v>
      </c>
      <c r="B131" s="5" t="s">
        <v>120</v>
      </c>
      <c r="C131" s="5"/>
      <c r="D131" s="6">
        <v>24000</v>
      </c>
      <c r="E131" s="5"/>
      <c r="F131" s="5"/>
      <c r="G131" s="5"/>
      <c r="H131" s="13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" x14ac:dyDescent="0.4">
      <c r="A132" s="11"/>
      <c r="B132" s="5"/>
      <c r="C132" s="5"/>
      <c r="D132" s="5"/>
      <c r="E132" s="5"/>
      <c r="F132" s="5"/>
      <c r="G132" s="5"/>
      <c r="H132" s="13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" x14ac:dyDescent="0.4">
      <c r="A133" s="11"/>
      <c r="B133" s="5"/>
      <c r="C133" s="5"/>
      <c r="D133" s="18">
        <f>SUM(D130:D132)</f>
        <v>48000</v>
      </c>
      <c r="E133" s="5"/>
      <c r="F133" s="5"/>
      <c r="G133" s="5"/>
      <c r="H133" s="20">
        <f>D133</f>
        <v>48000</v>
      </c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.5" thickBot="1" x14ac:dyDescent="0.45">
      <c r="A134" s="15" t="s">
        <v>97</v>
      </c>
      <c r="B134" s="16" t="s">
        <v>118</v>
      </c>
      <c r="C134" s="16"/>
      <c r="D134" s="23"/>
      <c r="E134" s="16"/>
      <c r="F134" s="16"/>
      <c r="G134" s="16"/>
      <c r="H134" s="24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" x14ac:dyDescent="0.4">
      <c r="A135" s="95" t="s">
        <v>140</v>
      </c>
      <c r="B135" s="95"/>
      <c r="C135" s="95"/>
      <c r="D135" s="95"/>
      <c r="E135" s="95"/>
      <c r="F135" s="95"/>
      <c r="G135" s="95"/>
      <c r="H135" s="95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.5" thickBot="1" x14ac:dyDescent="0.45">
      <c r="A136" s="96" t="s">
        <v>89</v>
      </c>
      <c r="B136" s="96"/>
      <c r="C136" s="96"/>
      <c r="D136" s="96"/>
      <c r="E136" s="96"/>
      <c r="F136" s="96"/>
      <c r="G136" s="96"/>
      <c r="H136" s="96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.5" thickBot="1" x14ac:dyDescent="0.45">
      <c r="A137" s="2" t="s">
        <v>0</v>
      </c>
      <c r="B137" s="3" t="s">
        <v>1</v>
      </c>
      <c r="C137" s="3" t="s">
        <v>90</v>
      </c>
      <c r="D137" s="3" t="s">
        <v>91</v>
      </c>
      <c r="E137" s="3" t="s">
        <v>0</v>
      </c>
      <c r="F137" s="3" t="s">
        <v>92</v>
      </c>
      <c r="G137" s="3" t="s">
        <v>90</v>
      </c>
      <c r="H137" s="4" t="s">
        <v>91</v>
      </c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" x14ac:dyDescent="0.4">
      <c r="A138" s="7" t="s">
        <v>66</v>
      </c>
      <c r="B138" s="8" t="s">
        <v>12</v>
      </c>
      <c r="C138" s="8"/>
      <c r="D138" s="9">
        <v>1499</v>
      </c>
      <c r="E138" s="8" t="s">
        <v>86</v>
      </c>
      <c r="F138" s="8" t="s">
        <v>117</v>
      </c>
      <c r="G138" s="8"/>
      <c r="H138" s="19">
        <f>H140</f>
        <v>1499</v>
      </c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" x14ac:dyDescent="0.4">
      <c r="A139" s="11"/>
      <c r="B139" s="5"/>
      <c r="C139" s="5"/>
      <c r="D139" s="5"/>
      <c r="E139" s="5"/>
      <c r="F139" s="5"/>
      <c r="G139" s="5"/>
      <c r="H139" s="13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" x14ac:dyDescent="0.4">
      <c r="A140" s="11"/>
      <c r="B140" s="5"/>
      <c r="C140" s="5"/>
      <c r="D140" s="18">
        <f>SUM(D138:D139)</f>
        <v>1499</v>
      </c>
      <c r="E140" s="5"/>
      <c r="F140" s="5"/>
      <c r="G140" s="5"/>
      <c r="H140" s="20">
        <f>D140</f>
        <v>1499</v>
      </c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.5" thickBot="1" x14ac:dyDescent="0.45">
      <c r="A141" s="15" t="s">
        <v>97</v>
      </c>
      <c r="B141" s="16" t="s">
        <v>118</v>
      </c>
      <c r="C141" s="16"/>
      <c r="D141" s="22">
        <v>1499</v>
      </c>
      <c r="E141" s="16"/>
      <c r="F141" s="16"/>
      <c r="G141" s="16"/>
      <c r="H141" s="17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" x14ac:dyDescent="0.4">
      <c r="A142" s="95" t="s">
        <v>141</v>
      </c>
      <c r="B142" s="95"/>
      <c r="C142" s="95"/>
      <c r="D142" s="95"/>
      <c r="E142" s="95"/>
      <c r="F142" s="95"/>
      <c r="G142" s="95"/>
      <c r="H142" s="95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.5" thickBot="1" x14ac:dyDescent="0.45">
      <c r="A143" s="96" t="s">
        <v>89</v>
      </c>
      <c r="B143" s="96"/>
      <c r="C143" s="96"/>
      <c r="D143" s="96"/>
      <c r="E143" s="96"/>
      <c r="F143" s="96"/>
      <c r="G143" s="96"/>
      <c r="H143" s="96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.5" thickBot="1" x14ac:dyDescent="0.45">
      <c r="A144" s="2" t="s">
        <v>0</v>
      </c>
      <c r="B144" s="3" t="s">
        <v>1</v>
      </c>
      <c r="C144" s="3" t="s">
        <v>90</v>
      </c>
      <c r="D144" s="3" t="s">
        <v>91</v>
      </c>
      <c r="E144" s="3" t="s">
        <v>0</v>
      </c>
      <c r="F144" s="3" t="s">
        <v>92</v>
      </c>
      <c r="G144" s="3" t="s">
        <v>90</v>
      </c>
      <c r="H144" s="4" t="s">
        <v>91</v>
      </c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" x14ac:dyDescent="0.4">
      <c r="A145" s="7" t="s">
        <v>72</v>
      </c>
      <c r="B145" s="8" t="s">
        <v>120</v>
      </c>
      <c r="C145" s="8"/>
      <c r="D145" s="9">
        <v>4000</v>
      </c>
      <c r="E145" s="8" t="s">
        <v>86</v>
      </c>
      <c r="F145" s="8" t="s">
        <v>117</v>
      </c>
      <c r="G145" s="8"/>
      <c r="H145" s="19">
        <f>H147</f>
        <v>4000</v>
      </c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" x14ac:dyDescent="0.4">
      <c r="A146" s="11"/>
      <c r="B146" s="5"/>
      <c r="C146" s="5"/>
      <c r="D146" s="5"/>
      <c r="E146" s="5"/>
      <c r="F146" s="5"/>
      <c r="G146" s="5"/>
      <c r="H146" s="13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" x14ac:dyDescent="0.4">
      <c r="A147" s="11"/>
      <c r="B147" s="5"/>
      <c r="C147" s="5"/>
      <c r="D147" s="18">
        <f>SUM(D145:D146)</f>
        <v>4000</v>
      </c>
      <c r="E147" s="5"/>
      <c r="F147" s="5"/>
      <c r="G147" s="5"/>
      <c r="H147" s="20">
        <f>D147</f>
        <v>4000</v>
      </c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.5" thickBot="1" x14ac:dyDescent="0.45">
      <c r="A148" s="15" t="s">
        <v>97</v>
      </c>
      <c r="B148" s="16" t="s">
        <v>118</v>
      </c>
      <c r="C148" s="16"/>
      <c r="D148" s="22">
        <v>4000</v>
      </c>
      <c r="E148" s="16"/>
      <c r="F148" s="16"/>
      <c r="G148" s="16"/>
      <c r="H148" s="17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" x14ac:dyDescent="0.4">
      <c r="A149" s="95" t="s">
        <v>142</v>
      </c>
      <c r="B149" s="95"/>
      <c r="C149" s="95"/>
      <c r="D149" s="95"/>
      <c r="E149" s="95"/>
      <c r="F149" s="95"/>
      <c r="G149" s="95"/>
      <c r="H149" s="95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.5" thickBot="1" x14ac:dyDescent="0.45">
      <c r="A150" s="96" t="s">
        <v>89</v>
      </c>
      <c r="B150" s="96"/>
      <c r="C150" s="96"/>
      <c r="D150" s="96"/>
      <c r="E150" s="96"/>
      <c r="F150" s="96"/>
      <c r="G150" s="96"/>
      <c r="H150" s="96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.5" thickBot="1" x14ac:dyDescent="0.45">
      <c r="A151" s="2" t="s">
        <v>0</v>
      </c>
      <c r="B151" s="3" t="s">
        <v>1</v>
      </c>
      <c r="C151" s="3" t="s">
        <v>90</v>
      </c>
      <c r="D151" s="3" t="s">
        <v>91</v>
      </c>
      <c r="E151" s="3" t="s">
        <v>0</v>
      </c>
      <c r="F151" s="3" t="s">
        <v>92</v>
      </c>
      <c r="G151" s="3" t="s">
        <v>90</v>
      </c>
      <c r="H151" s="4" t="s">
        <v>91</v>
      </c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" x14ac:dyDescent="0.4">
      <c r="A152" s="7" t="s">
        <v>73</v>
      </c>
      <c r="B152" s="8" t="s">
        <v>120</v>
      </c>
      <c r="C152" s="8"/>
      <c r="D152" s="9">
        <v>9800</v>
      </c>
      <c r="E152" s="8" t="s">
        <v>86</v>
      </c>
      <c r="F152" s="8" t="s">
        <v>117</v>
      </c>
      <c r="G152" s="8"/>
      <c r="H152" s="19">
        <f>H154</f>
        <v>9800</v>
      </c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" x14ac:dyDescent="0.4">
      <c r="A153" s="11"/>
      <c r="B153" s="5"/>
      <c r="C153" s="5"/>
      <c r="D153" s="5"/>
      <c r="E153" s="5"/>
      <c r="F153" s="5"/>
      <c r="G153" s="5"/>
      <c r="H153" s="13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" x14ac:dyDescent="0.4">
      <c r="A154" s="11"/>
      <c r="B154" s="5"/>
      <c r="C154" s="5"/>
      <c r="D154" s="18">
        <f>SUM(D152:D153)</f>
        <v>9800</v>
      </c>
      <c r="E154" s="5"/>
      <c r="F154" s="5"/>
      <c r="G154" s="5"/>
      <c r="H154" s="20">
        <f>D154</f>
        <v>9800</v>
      </c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.5" thickBot="1" x14ac:dyDescent="0.45">
      <c r="A155" s="15" t="s">
        <v>97</v>
      </c>
      <c r="B155" s="16" t="s">
        <v>118</v>
      </c>
      <c r="C155" s="16"/>
      <c r="D155" s="22">
        <f>D154</f>
        <v>9800</v>
      </c>
      <c r="E155" s="16"/>
      <c r="F155" s="16"/>
      <c r="G155" s="16"/>
      <c r="H155" s="17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" x14ac:dyDescent="0.4">
      <c r="A156" s="95" t="s">
        <v>143</v>
      </c>
      <c r="B156" s="95"/>
      <c r="C156" s="95"/>
      <c r="D156" s="95"/>
      <c r="E156" s="95"/>
      <c r="F156" s="95"/>
      <c r="G156" s="95"/>
      <c r="H156" s="95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.5" thickBot="1" x14ac:dyDescent="0.45">
      <c r="A157" s="96" t="s">
        <v>89</v>
      </c>
      <c r="B157" s="96"/>
      <c r="C157" s="96"/>
      <c r="D157" s="96"/>
      <c r="E157" s="96"/>
      <c r="F157" s="96"/>
      <c r="G157" s="96"/>
      <c r="H157" s="96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.5" thickBot="1" x14ac:dyDescent="0.45">
      <c r="A158" s="2" t="s">
        <v>0</v>
      </c>
      <c r="B158" s="3" t="s">
        <v>1</v>
      </c>
      <c r="C158" s="3" t="s">
        <v>90</v>
      </c>
      <c r="D158" s="3" t="s">
        <v>91</v>
      </c>
      <c r="E158" s="3" t="s">
        <v>0</v>
      </c>
      <c r="F158" s="3" t="s">
        <v>92</v>
      </c>
      <c r="G158" s="3" t="s">
        <v>90</v>
      </c>
      <c r="H158" s="4" t="s">
        <v>91</v>
      </c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" x14ac:dyDescent="0.4">
      <c r="A159" s="7" t="s">
        <v>80</v>
      </c>
      <c r="B159" s="8" t="s">
        <v>120</v>
      </c>
      <c r="C159" s="8"/>
      <c r="D159" s="9">
        <v>2500</v>
      </c>
      <c r="E159" s="8" t="s">
        <v>86</v>
      </c>
      <c r="F159" s="8" t="s">
        <v>117</v>
      </c>
      <c r="G159" s="8"/>
      <c r="H159" s="19">
        <f>H161</f>
        <v>2500</v>
      </c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" x14ac:dyDescent="0.4">
      <c r="A160" s="11"/>
      <c r="B160" s="5"/>
      <c r="C160" s="5"/>
      <c r="D160" s="5"/>
      <c r="E160" s="5"/>
      <c r="F160" s="5"/>
      <c r="G160" s="5"/>
      <c r="H160" s="13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" x14ac:dyDescent="0.4">
      <c r="A161" s="11"/>
      <c r="B161" s="5"/>
      <c r="C161" s="5"/>
      <c r="D161" s="18">
        <f>SUM(D159:D160)</f>
        <v>2500</v>
      </c>
      <c r="E161" s="5"/>
      <c r="F161" s="5"/>
      <c r="G161" s="5"/>
      <c r="H161" s="20">
        <f>D161</f>
        <v>2500</v>
      </c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.5" thickBot="1" x14ac:dyDescent="0.45">
      <c r="A162" s="15" t="s">
        <v>97</v>
      </c>
      <c r="B162" s="16" t="s">
        <v>118</v>
      </c>
      <c r="C162" s="16"/>
      <c r="D162" s="22">
        <f>D161</f>
        <v>2500</v>
      </c>
      <c r="E162" s="16"/>
      <c r="F162" s="16"/>
      <c r="G162" s="16"/>
      <c r="H162" s="17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8" x14ac:dyDescent="0.4">
      <c r="A163" s="95" t="s">
        <v>144</v>
      </c>
      <c r="B163" s="95"/>
      <c r="C163" s="95"/>
      <c r="D163" s="95"/>
      <c r="E163" s="95"/>
      <c r="F163" s="95"/>
      <c r="G163" s="95"/>
      <c r="H163" s="95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8.5" thickBot="1" x14ac:dyDescent="0.45">
      <c r="A164" s="96" t="s">
        <v>89</v>
      </c>
      <c r="B164" s="96"/>
      <c r="C164" s="96"/>
      <c r="D164" s="96"/>
      <c r="E164" s="96"/>
      <c r="F164" s="96"/>
      <c r="G164" s="96"/>
      <c r="H164" s="96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8.5" thickBot="1" x14ac:dyDescent="0.45">
      <c r="A165" s="2" t="s">
        <v>0</v>
      </c>
      <c r="B165" s="3" t="s">
        <v>1</v>
      </c>
      <c r="C165" s="3" t="s">
        <v>90</v>
      </c>
      <c r="D165" s="3" t="s">
        <v>91</v>
      </c>
      <c r="E165" s="3" t="s">
        <v>0</v>
      </c>
      <c r="F165" s="3" t="s">
        <v>92</v>
      </c>
      <c r="G165" s="3" t="s">
        <v>90</v>
      </c>
      <c r="H165" s="4" t="s">
        <v>91</v>
      </c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8" x14ac:dyDescent="0.4">
      <c r="A166" s="7" t="s">
        <v>83</v>
      </c>
      <c r="B166" s="8" t="s">
        <v>12</v>
      </c>
      <c r="C166" s="8"/>
      <c r="D166" s="9">
        <v>3000</v>
      </c>
      <c r="E166" s="8" t="s">
        <v>86</v>
      </c>
      <c r="F166" s="8" t="s">
        <v>117</v>
      </c>
      <c r="G166" s="8"/>
      <c r="H166" s="19">
        <f>H168</f>
        <v>3000</v>
      </c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8" x14ac:dyDescent="0.4">
      <c r="A167" s="11"/>
      <c r="B167" s="5"/>
      <c r="C167" s="5"/>
      <c r="D167" s="5"/>
      <c r="E167" s="5"/>
      <c r="F167" s="5"/>
      <c r="G167" s="5"/>
      <c r="H167" s="13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8" x14ac:dyDescent="0.4">
      <c r="A168" s="11"/>
      <c r="B168" s="5"/>
      <c r="C168" s="5"/>
      <c r="D168" s="18">
        <f>SUM(D166:D167)</f>
        <v>3000</v>
      </c>
      <c r="E168" s="5"/>
      <c r="F168" s="5"/>
      <c r="G168" s="5"/>
      <c r="H168" s="20">
        <f>D168</f>
        <v>3000</v>
      </c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8.5" thickBot="1" x14ac:dyDescent="0.45">
      <c r="A169" s="15" t="s">
        <v>97</v>
      </c>
      <c r="B169" s="16" t="s">
        <v>118</v>
      </c>
      <c r="C169" s="16"/>
      <c r="D169" s="22">
        <f>D168</f>
        <v>3000</v>
      </c>
      <c r="E169" s="16"/>
      <c r="F169" s="16"/>
      <c r="G169" s="16"/>
      <c r="H169" s="17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8" x14ac:dyDescent="0.4"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8" x14ac:dyDescent="0.4"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</sheetData>
  <mergeCells count="41">
    <mergeCell ref="A1:H1"/>
    <mergeCell ref="A10:H10"/>
    <mergeCell ref="A34:H34"/>
    <mergeCell ref="A42:H42"/>
    <mergeCell ref="A71:H71"/>
    <mergeCell ref="A50:H50"/>
    <mergeCell ref="A57:H57"/>
    <mergeCell ref="A64:H64"/>
    <mergeCell ref="A2:I2"/>
    <mergeCell ref="A3:H3"/>
    <mergeCell ref="A80:H80"/>
    <mergeCell ref="A93:H93"/>
    <mergeCell ref="A100:H100"/>
    <mergeCell ref="A107:H107"/>
    <mergeCell ref="A115:H115"/>
    <mergeCell ref="A150:H150"/>
    <mergeCell ref="A127:H127"/>
    <mergeCell ref="A135:H135"/>
    <mergeCell ref="A142:H142"/>
    <mergeCell ref="A149:H149"/>
    <mergeCell ref="A120:H120"/>
    <mergeCell ref="A121:H121"/>
    <mergeCell ref="A128:H128"/>
    <mergeCell ref="A136:H136"/>
    <mergeCell ref="A143:H143"/>
    <mergeCell ref="A156:H156"/>
    <mergeCell ref="A163:H163"/>
    <mergeCell ref="A157:H157"/>
    <mergeCell ref="A164:H164"/>
    <mergeCell ref="A9:H9"/>
    <mergeCell ref="A33:H33"/>
    <mergeCell ref="A41:H41"/>
    <mergeCell ref="A49:H49"/>
    <mergeCell ref="A56:H56"/>
    <mergeCell ref="A63:H63"/>
    <mergeCell ref="A70:H70"/>
    <mergeCell ref="A79:H79"/>
    <mergeCell ref="A92:H92"/>
    <mergeCell ref="A99:H99"/>
    <mergeCell ref="A106:H106"/>
    <mergeCell ref="A114:H1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BABA-1B4C-46B5-8597-9E5F3BB05E8D}">
  <dimension ref="A1:S666"/>
  <sheetViews>
    <sheetView zoomScale="99" zoomScaleNormal="40" workbookViewId="0">
      <selection activeCell="G21" sqref="G21"/>
    </sheetView>
  </sheetViews>
  <sheetFormatPr defaultRowHeight="14.5" x14ac:dyDescent="0.35"/>
  <cols>
    <col min="2" max="2" width="27.6328125" customWidth="1"/>
    <col min="3" max="4" width="13.1796875" customWidth="1"/>
  </cols>
  <sheetData>
    <row r="1" spans="1:19" ht="18" x14ac:dyDescent="0.4">
      <c r="A1" s="94" t="s">
        <v>145</v>
      </c>
      <c r="B1" s="94"/>
      <c r="C1" s="94"/>
      <c r="D1" s="9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37" t="s">
        <v>146</v>
      </c>
      <c r="B3" s="38" t="s">
        <v>147</v>
      </c>
      <c r="C3" s="38" t="s">
        <v>3</v>
      </c>
      <c r="D3" s="39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45">
        <v>1</v>
      </c>
      <c r="B4" s="34" t="s">
        <v>148</v>
      </c>
      <c r="C4" s="46">
        <v>186401</v>
      </c>
      <c r="D4" s="47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9" ht="18" x14ac:dyDescent="0.4">
      <c r="A5" s="40">
        <v>2</v>
      </c>
      <c r="B5" s="5" t="s">
        <v>149</v>
      </c>
      <c r="C5" s="28">
        <v>380000</v>
      </c>
      <c r="D5" s="4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x14ac:dyDescent="0.4">
      <c r="A6" s="40">
        <v>3</v>
      </c>
      <c r="B6" s="5" t="s">
        <v>150</v>
      </c>
      <c r="C6" s="28">
        <v>60000</v>
      </c>
      <c r="D6" s="4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40">
        <v>4</v>
      </c>
      <c r="B7" s="5" t="s">
        <v>19</v>
      </c>
      <c r="C7" s="28">
        <v>75000</v>
      </c>
      <c r="D7" s="4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40">
        <v>5</v>
      </c>
      <c r="B8" s="5" t="s">
        <v>151</v>
      </c>
      <c r="C8" s="28">
        <v>55000</v>
      </c>
      <c r="D8" s="4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40">
        <v>6</v>
      </c>
      <c r="B9" s="5" t="s">
        <v>152</v>
      </c>
      <c r="C9" s="28">
        <v>2500</v>
      </c>
      <c r="D9" s="4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40">
        <v>7</v>
      </c>
      <c r="B10" s="5" t="s">
        <v>153</v>
      </c>
      <c r="C10" s="28">
        <v>39000</v>
      </c>
      <c r="D10" s="4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x14ac:dyDescent="0.4">
      <c r="A11" s="40">
        <v>8</v>
      </c>
      <c r="B11" s="5" t="s">
        <v>154</v>
      </c>
      <c r="C11" s="28">
        <v>3000</v>
      </c>
      <c r="D11" s="4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40">
        <v>9</v>
      </c>
      <c r="B12" s="5" t="s">
        <v>155</v>
      </c>
      <c r="C12" s="28">
        <v>4700</v>
      </c>
      <c r="D12" s="4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40">
        <v>10</v>
      </c>
      <c r="B13" s="5" t="s">
        <v>156</v>
      </c>
      <c r="C13" s="29" t="s">
        <v>169</v>
      </c>
      <c r="D13" s="42" t="s">
        <v>157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40">
        <v>11</v>
      </c>
      <c r="B14" s="5" t="s">
        <v>158</v>
      </c>
      <c r="C14" s="28">
        <v>800</v>
      </c>
      <c r="D14" s="4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40">
        <v>12</v>
      </c>
      <c r="B15" s="5" t="s">
        <v>159</v>
      </c>
      <c r="C15" s="28">
        <v>48000</v>
      </c>
      <c r="D15" s="4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40">
        <v>13</v>
      </c>
      <c r="B16" s="5" t="s">
        <v>160</v>
      </c>
      <c r="C16" s="28">
        <v>1499</v>
      </c>
      <c r="D16" s="4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" x14ac:dyDescent="0.4">
      <c r="A17" s="40">
        <v>14</v>
      </c>
      <c r="B17" s="5" t="s">
        <v>161</v>
      </c>
      <c r="C17" s="28">
        <v>4000</v>
      </c>
      <c r="D17" s="4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40">
        <v>15</v>
      </c>
      <c r="B18" s="5" t="s">
        <v>162</v>
      </c>
      <c r="C18" s="28">
        <v>2500</v>
      </c>
      <c r="D18" s="4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40">
        <v>16</v>
      </c>
      <c r="B19" s="5" t="s">
        <v>163</v>
      </c>
      <c r="C19" s="28">
        <v>9800</v>
      </c>
      <c r="D19" s="4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40">
        <v>17</v>
      </c>
      <c r="B20" s="5" t="s">
        <v>164</v>
      </c>
      <c r="C20" s="28">
        <v>3000</v>
      </c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40">
        <v>18</v>
      </c>
      <c r="B21" s="5" t="s">
        <v>165</v>
      </c>
      <c r="C21" s="28"/>
      <c r="D21" s="41">
        <v>800000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40">
        <v>19</v>
      </c>
      <c r="B22" s="5" t="s">
        <v>166</v>
      </c>
      <c r="C22" s="28"/>
      <c r="D22" s="41">
        <v>25000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40">
        <v>20</v>
      </c>
      <c r="B23" s="5" t="s">
        <v>167</v>
      </c>
      <c r="C23" s="28"/>
      <c r="D23" s="41">
        <v>50200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.5" thickBot="1" x14ac:dyDescent="0.45">
      <c r="A24" s="48"/>
      <c r="B24" s="49"/>
      <c r="C24" s="50"/>
      <c r="D24" s="5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.5" thickBot="1" x14ac:dyDescent="0.45">
      <c r="A25" s="52"/>
      <c r="B25" s="38" t="s">
        <v>168</v>
      </c>
      <c r="C25" s="53">
        <f>SUM(C4:C20)</f>
        <v>875200</v>
      </c>
      <c r="D25" s="54">
        <v>875200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09D7-D97B-418C-8DBC-2C59E6E639D0}">
  <dimension ref="A1:R122"/>
  <sheetViews>
    <sheetView workbookViewId="0">
      <selection activeCell="B10" sqref="B10"/>
    </sheetView>
  </sheetViews>
  <sheetFormatPr defaultRowHeight="14.5" x14ac:dyDescent="0.35"/>
  <cols>
    <col min="1" max="1" width="23.6328125" customWidth="1"/>
    <col min="2" max="2" width="11.81640625" customWidth="1"/>
    <col min="3" max="3" width="12.81640625" customWidth="1"/>
    <col min="4" max="4" width="20.26953125" customWidth="1"/>
    <col min="5" max="5" width="12.1796875" customWidth="1"/>
    <col min="6" max="6" width="12.90625" customWidth="1"/>
  </cols>
  <sheetData>
    <row r="1" spans="1:18" ht="18" x14ac:dyDescent="0.4">
      <c r="A1" s="94" t="s">
        <v>175</v>
      </c>
      <c r="B1" s="94"/>
      <c r="C1" s="94"/>
      <c r="D1" s="94"/>
      <c r="E1" s="94"/>
      <c r="F1" s="9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5" thickBot="1" x14ac:dyDescent="0.45">
      <c r="A2" s="94" t="s">
        <v>176</v>
      </c>
      <c r="B2" s="94"/>
      <c r="C2" s="94"/>
      <c r="D2" s="94"/>
      <c r="E2" s="94"/>
      <c r="F2" s="9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.5" thickBot="1" x14ac:dyDescent="0.45">
      <c r="A3" s="37" t="s">
        <v>1</v>
      </c>
      <c r="B3" s="38" t="s">
        <v>170</v>
      </c>
      <c r="C3" s="38" t="s">
        <v>170</v>
      </c>
      <c r="D3" s="38" t="s">
        <v>1</v>
      </c>
      <c r="E3" s="38" t="s">
        <v>170</v>
      </c>
      <c r="F3" s="39" t="s">
        <v>170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4">
      <c r="A4" s="33" t="s">
        <v>171</v>
      </c>
      <c r="B4" s="34"/>
      <c r="C4" s="35" t="s">
        <v>157</v>
      </c>
      <c r="D4" s="34" t="s">
        <v>180</v>
      </c>
      <c r="E4" s="34"/>
      <c r="F4" s="36">
        <v>50200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x14ac:dyDescent="0.4">
      <c r="A5" s="11" t="s">
        <v>179</v>
      </c>
      <c r="B5" s="5"/>
      <c r="C5" s="6">
        <v>39000</v>
      </c>
      <c r="D5" s="5" t="s">
        <v>172</v>
      </c>
      <c r="E5" s="5"/>
      <c r="F5" s="30" t="s">
        <v>157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x14ac:dyDescent="0.4">
      <c r="A6" s="11" t="s">
        <v>173</v>
      </c>
      <c r="B6" s="5"/>
      <c r="C6" s="6">
        <v>11200</v>
      </c>
      <c r="D6" s="5"/>
      <c r="E6" s="5"/>
      <c r="F6" s="1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x14ac:dyDescent="0.4">
      <c r="A7" s="11"/>
      <c r="B7" s="5"/>
      <c r="C7" s="5"/>
      <c r="D7" s="5"/>
      <c r="E7" s="5"/>
      <c r="F7" s="1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.5" thickBot="1" x14ac:dyDescent="0.45">
      <c r="A8" s="31"/>
      <c r="B8" s="32"/>
      <c r="C8" s="23">
        <f>SUM(C5:C7)</f>
        <v>50200</v>
      </c>
      <c r="D8" s="32"/>
      <c r="E8" s="32"/>
      <c r="F8" s="24">
        <v>50200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7EF1-9421-464F-9847-DA8C67D3DD7A}">
  <dimension ref="A1:F14"/>
  <sheetViews>
    <sheetView workbookViewId="0">
      <selection activeCell="H4" sqref="H4"/>
    </sheetView>
  </sheetViews>
  <sheetFormatPr defaultRowHeight="14.5" x14ac:dyDescent="0.35"/>
  <cols>
    <col min="1" max="1" width="34.81640625" customWidth="1"/>
    <col min="2" max="2" width="11.90625" customWidth="1"/>
    <col min="3" max="3" width="12.7265625" customWidth="1"/>
    <col min="4" max="4" width="42.90625" customWidth="1"/>
    <col min="5" max="5" width="12" customWidth="1"/>
    <col min="6" max="6" width="12.81640625" customWidth="1"/>
  </cols>
  <sheetData>
    <row r="1" spans="1:6" ht="17.5" x14ac:dyDescent="0.35">
      <c r="A1" s="94" t="s">
        <v>177</v>
      </c>
      <c r="B1" s="94"/>
      <c r="C1" s="94"/>
      <c r="D1" s="94"/>
      <c r="E1" s="94"/>
      <c r="F1" s="94"/>
    </row>
    <row r="2" spans="1:6" ht="18" thickBot="1" x14ac:dyDescent="0.4">
      <c r="A2" s="94" t="s">
        <v>191</v>
      </c>
      <c r="B2" s="94"/>
      <c r="C2" s="94"/>
      <c r="D2" s="94"/>
      <c r="E2" s="94"/>
      <c r="F2" s="94"/>
    </row>
    <row r="3" spans="1:6" ht="18" thickBot="1" x14ac:dyDescent="0.4">
      <c r="A3" s="37" t="s">
        <v>1</v>
      </c>
      <c r="B3" s="38" t="s">
        <v>170</v>
      </c>
      <c r="C3" s="38" t="s">
        <v>170</v>
      </c>
      <c r="D3" s="38" t="s">
        <v>1</v>
      </c>
      <c r="E3" s="38" t="s">
        <v>170</v>
      </c>
      <c r="F3" s="39" t="s">
        <v>170</v>
      </c>
    </row>
    <row r="4" spans="1:6" ht="18" x14ac:dyDescent="0.4">
      <c r="A4" s="33" t="s">
        <v>181</v>
      </c>
      <c r="B4" s="34"/>
      <c r="C4" s="46">
        <v>60000</v>
      </c>
      <c r="D4" s="34" t="s">
        <v>178</v>
      </c>
      <c r="E4" s="46"/>
      <c r="F4" s="47">
        <v>11200</v>
      </c>
    </row>
    <row r="5" spans="1:6" ht="18" x14ac:dyDescent="0.4">
      <c r="A5" s="11" t="s">
        <v>182</v>
      </c>
      <c r="B5" s="5"/>
      <c r="C5" s="28">
        <v>2500</v>
      </c>
      <c r="D5" s="5" t="s">
        <v>190</v>
      </c>
      <c r="E5" s="28"/>
      <c r="F5" s="41">
        <v>114799</v>
      </c>
    </row>
    <row r="6" spans="1:6" ht="18" x14ac:dyDescent="0.4">
      <c r="A6" s="11" t="s">
        <v>183</v>
      </c>
      <c r="B6" s="5"/>
      <c r="C6" s="28">
        <v>3000</v>
      </c>
      <c r="D6" s="5"/>
      <c r="E6" s="28"/>
      <c r="F6" s="41"/>
    </row>
    <row r="7" spans="1:6" ht="18" x14ac:dyDescent="0.4">
      <c r="A7" s="11" t="s">
        <v>184</v>
      </c>
      <c r="B7" s="5"/>
      <c r="C7" s="28">
        <v>4700</v>
      </c>
      <c r="D7" s="5"/>
      <c r="E7" s="28"/>
      <c r="F7" s="41"/>
    </row>
    <row r="8" spans="1:6" ht="18" x14ac:dyDescent="0.4">
      <c r="A8" s="11" t="s">
        <v>185</v>
      </c>
      <c r="B8" s="5"/>
      <c r="C8" s="28">
        <v>800</v>
      </c>
      <c r="D8" s="5"/>
      <c r="E8" s="28"/>
      <c r="F8" s="41"/>
    </row>
    <row r="9" spans="1:6" ht="18" x14ac:dyDescent="0.4">
      <c r="A9" s="11" t="s">
        <v>186</v>
      </c>
      <c r="B9" s="5"/>
      <c r="C9" s="28">
        <v>48000</v>
      </c>
      <c r="D9" s="5"/>
      <c r="E9" s="28"/>
      <c r="F9" s="41"/>
    </row>
    <row r="10" spans="1:6" ht="18" x14ac:dyDescent="0.4">
      <c r="A10" s="11" t="s">
        <v>187</v>
      </c>
      <c r="B10" s="5"/>
      <c r="C10" s="28">
        <v>1499</v>
      </c>
      <c r="D10" s="5"/>
      <c r="E10" s="28"/>
      <c r="F10" s="41"/>
    </row>
    <row r="11" spans="1:6" ht="18" x14ac:dyDescent="0.4">
      <c r="A11" s="11" t="s">
        <v>188</v>
      </c>
      <c r="B11" s="5"/>
      <c r="C11" s="28">
        <v>2500</v>
      </c>
      <c r="D11" s="5"/>
      <c r="E11" s="28"/>
      <c r="F11" s="41"/>
    </row>
    <row r="12" spans="1:6" ht="18" x14ac:dyDescent="0.4">
      <c r="A12" s="11" t="s">
        <v>189</v>
      </c>
      <c r="B12" s="5"/>
      <c r="C12" s="28">
        <v>3000</v>
      </c>
      <c r="D12" s="5"/>
      <c r="E12" s="28"/>
      <c r="F12" s="41"/>
    </row>
    <row r="13" spans="1:6" ht="18" x14ac:dyDescent="0.4">
      <c r="A13" s="11"/>
      <c r="B13" s="5"/>
      <c r="C13" s="28"/>
      <c r="D13" s="5"/>
      <c r="E13" s="28"/>
      <c r="F13" s="41"/>
    </row>
    <row r="14" spans="1:6" ht="18.5" thickBot="1" x14ac:dyDescent="0.45">
      <c r="A14" s="15"/>
      <c r="B14" s="16"/>
      <c r="C14" s="43">
        <v>125999</v>
      </c>
      <c r="D14" s="16"/>
      <c r="E14" s="55"/>
      <c r="F14" s="44">
        <v>125999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0903-C4AB-4133-81DE-610163308569}">
  <dimension ref="A1:CA302"/>
  <sheetViews>
    <sheetView workbookViewId="0">
      <selection activeCell="J4" sqref="J4"/>
    </sheetView>
  </sheetViews>
  <sheetFormatPr defaultRowHeight="14.5" x14ac:dyDescent="0.35"/>
  <cols>
    <col min="1" max="1" width="23.36328125" customWidth="1"/>
    <col min="2" max="2" width="14.81640625" customWidth="1"/>
    <col min="3" max="3" width="14.453125" customWidth="1"/>
    <col min="4" max="4" width="21.26953125" customWidth="1"/>
    <col min="5" max="5" width="13.36328125" customWidth="1"/>
    <col min="6" max="6" width="13.54296875" customWidth="1"/>
    <col min="9" max="9" width="11.1796875" bestFit="1" customWidth="1"/>
  </cols>
  <sheetData>
    <row r="1" spans="1:79" ht="18" x14ac:dyDescent="0.4">
      <c r="A1" s="94" t="s">
        <v>192</v>
      </c>
      <c r="B1" s="94"/>
      <c r="C1" s="94"/>
      <c r="D1" s="94"/>
      <c r="E1" s="94"/>
      <c r="F1" s="9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8.5" thickBot="1" x14ac:dyDescent="0.45">
      <c r="A2" s="27"/>
      <c r="B2" s="27"/>
      <c r="C2" s="27"/>
      <c r="D2" s="27"/>
      <c r="E2" s="27"/>
      <c r="F2" s="2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18.5" thickBot="1" x14ac:dyDescent="0.45">
      <c r="A3" s="37" t="s">
        <v>193</v>
      </c>
      <c r="B3" s="38" t="s">
        <v>170</v>
      </c>
      <c r="C3" s="38" t="s">
        <v>170</v>
      </c>
      <c r="D3" s="38" t="s">
        <v>194</v>
      </c>
      <c r="E3" s="38" t="s">
        <v>170</v>
      </c>
      <c r="F3" s="39" t="s">
        <v>170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18" x14ac:dyDescent="0.4">
      <c r="A4" s="33" t="s">
        <v>195</v>
      </c>
      <c r="B4" s="46">
        <v>800000</v>
      </c>
      <c r="C4" s="46"/>
      <c r="D4" s="58" t="s">
        <v>204</v>
      </c>
      <c r="E4" s="58"/>
      <c r="F4" s="59"/>
      <c r="G4" s="1"/>
      <c r="H4" s="1"/>
      <c r="I4" s="6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18.5" thickBot="1" x14ac:dyDescent="0.45">
      <c r="A5" s="11" t="s">
        <v>201</v>
      </c>
      <c r="B5" s="55">
        <v>114799</v>
      </c>
      <c r="C5" s="28">
        <v>685201</v>
      </c>
      <c r="D5" s="34" t="s">
        <v>196</v>
      </c>
      <c r="E5" s="28">
        <v>186401</v>
      </c>
      <c r="F5" s="60"/>
      <c r="G5" s="1"/>
      <c r="H5" s="1"/>
      <c r="I5" s="6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ht="18.5" thickBot="1" x14ac:dyDescent="0.45">
      <c r="A6" s="57" t="s">
        <v>203</v>
      </c>
      <c r="B6" s="28"/>
      <c r="C6" s="28"/>
      <c r="D6" s="5" t="s">
        <v>197</v>
      </c>
      <c r="E6" s="55">
        <v>380000</v>
      </c>
      <c r="F6" s="61">
        <f>SUM(E5:E6)</f>
        <v>566401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ht="18" x14ac:dyDescent="0.4">
      <c r="A7" s="11" t="s">
        <v>199</v>
      </c>
      <c r="B7" s="28"/>
      <c r="C7" s="28">
        <v>25000</v>
      </c>
      <c r="D7" s="5" t="s">
        <v>198</v>
      </c>
      <c r="E7" s="46"/>
      <c r="F7" s="41">
        <v>75000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ht="18" x14ac:dyDescent="0.4">
      <c r="A8" s="11"/>
      <c r="B8" s="28"/>
      <c r="C8" s="28"/>
      <c r="D8" s="5" t="s">
        <v>200</v>
      </c>
      <c r="E8" s="28"/>
      <c r="F8" s="41">
        <v>9800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ht="18" x14ac:dyDescent="0.4">
      <c r="A9" s="11"/>
      <c r="B9" s="28"/>
      <c r="C9" s="28"/>
      <c r="D9" s="5" t="s">
        <v>205</v>
      </c>
      <c r="E9" s="28"/>
      <c r="F9" s="41">
        <v>55000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ht="18" x14ac:dyDescent="0.4">
      <c r="A10" s="63"/>
      <c r="B10" s="50"/>
      <c r="C10" s="50"/>
      <c r="D10" s="49" t="s">
        <v>206</v>
      </c>
      <c r="E10" s="50"/>
      <c r="F10" s="51">
        <v>4000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ht="18" x14ac:dyDescent="0.4">
      <c r="A11" s="63"/>
      <c r="B11" s="50"/>
      <c r="C11" s="50"/>
      <c r="D11" s="49"/>
      <c r="E11" s="50"/>
      <c r="F11" s="5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ht="18.5" thickBot="1" x14ac:dyDescent="0.45">
      <c r="A12" s="15"/>
      <c r="B12" s="55"/>
      <c r="C12" s="43">
        <v>710201</v>
      </c>
      <c r="D12" s="56"/>
      <c r="E12" s="43"/>
      <c r="F12" s="44">
        <v>710201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spans="1:7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spans="1:7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spans="1:7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spans="1:7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spans="1:7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spans="1:7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spans="1:7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7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spans="1:7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spans="1:7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spans="1:7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spans="1:7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spans="1:7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spans="1:7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spans="1:7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spans="1:7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spans="1:7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spans="1:7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spans="1:7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spans="1:7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spans="1:7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spans="1:7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spans="1:7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spans="1:7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spans="1:7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spans="1:7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spans="1:7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spans="1:7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7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spans="1:7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spans="1:7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spans="1:7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spans="1:7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spans="1:7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spans="1:7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spans="1:7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spans="1:7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spans="1:7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spans="1:7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spans="1:7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spans="1:7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spans="1:7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spans="1:7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spans="1:7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spans="1:7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spans="1:7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spans="1:7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spans="1:7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spans="1:7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spans="1:7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spans="1:7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spans="1:7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spans="1:7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spans="1:7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spans="1:7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spans="1:7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spans="1:7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spans="1:7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spans="1:7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spans="1:7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spans="1:7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spans="1:7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spans="1:7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spans="1:7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spans="1:7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spans="1:7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spans="1:7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spans="1:7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spans="1:7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spans="1:7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spans="1:7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spans="1:7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spans="1:7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spans="1:7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spans="1:7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spans="1:7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spans="1:7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spans="1:7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spans="1:7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spans="1:7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spans="1:7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spans="1:7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spans="1:7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spans="1:7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spans="1:7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spans="1:7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spans="1:7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spans="1:7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spans="1:7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spans="1:7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spans="1:7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spans="1:7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spans="1:7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spans="1:7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spans="1:7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spans="1:7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spans="1:7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spans="1:7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spans="1:7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spans="1:7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spans="1:7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spans="1:7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spans="1:7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spans="1:7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  <row r="162" spans="1:7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</row>
    <row r="163" spans="1:7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spans="1:7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</row>
    <row r="165" spans="1:7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spans="1:7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spans="1:7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spans="1:7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spans="1:7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spans="1:7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spans="1:7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</row>
    <row r="172" spans="1:7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</row>
    <row r="173" spans="1:7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</row>
    <row r="174" spans="1:7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</row>
    <row r="175" spans="1:7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</row>
    <row r="176" spans="1:7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</row>
    <row r="177" spans="1:7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</row>
    <row r="178" spans="1:7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spans="1:7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</row>
    <row r="180" spans="1:7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spans="1:7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spans="1:7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spans="1:7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spans="1:7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</row>
    <row r="185" spans="1:7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</row>
    <row r="186" spans="1:7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spans="1:7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spans="1:7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spans="1:7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spans="1:7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spans="1:7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spans="1:7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spans="1:7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spans="1:7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spans="1:7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spans="1:7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spans="1:7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spans="1:7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spans="1:7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spans="1:7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  <row r="201" spans="1:7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</row>
    <row r="202" spans="1:7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</row>
    <row r="203" spans="1:7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</row>
    <row r="204" spans="1:7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</row>
    <row r="205" spans="1:7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</row>
    <row r="206" spans="1:7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spans="1:7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</row>
    <row r="208" spans="1:7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spans="1:7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</row>
    <row r="210" spans="1:7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</row>
    <row r="211" spans="1:7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 spans="1:7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</row>
    <row r="213" spans="1:7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</row>
    <row r="214" spans="1:7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</row>
    <row r="215" spans="1:7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</row>
    <row r="216" spans="1:7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</row>
    <row r="217" spans="1:7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spans="1:7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</row>
    <row r="219" spans="1:7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</row>
    <row r="220" spans="1:7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</row>
    <row r="221" spans="1:7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</row>
    <row r="222" spans="1:7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</row>
    <row r="223" spans="1:7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</row>
    <row r="224" spans="1:7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</row>
    <row r="225" spans="1:7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</row>
    <row r="226" spans="1:7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</row>
    <row r="227" spans="1:7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</row>
    <row r="228" spans="1:7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</row>
    <row r="229" spans="1:7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</row>
    <row r="230" spans="1:7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</row>
    <row r="231" spans="1:7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</row>
    <row r="232" spans="1:7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</row>
    <row r="233" spans="1:7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</row>
    <row r="234" spans="1:7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</row>
    <row r="235" spans="1:7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</row>
    <row r="236" spans="1:7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</row>
    <row r="237" spans="1:7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</row>
    <row r="238" spans="1:7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</row>
    <row r="239" spans="1:7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</row>
    <row r="240" spans="1:7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</row>
    <row r="241" spans="1:7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</row>
    <row r="242" spans="1:7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spans="1:7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</row>
    <row r="244" spans="1:7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spans="1:7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</row>
    <row r="246" spans="1:7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</row>
    <row r="247" spans="1:7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</row>
    <row r="248" spans="1:7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</row>
    <row r="249" spans="1:7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</row>
    <row r="250" spans="1:7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</row>
    <row r="251" spans="1:7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</row>
    <row r="252" spans="1:7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</row>
    <row r="253" spans="1:7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</row>
    <row r="254" spans="1:7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</row>
    <row r="255" spans="1:7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</row>
    <row r="256" spans="1:7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</row>
    <row r="257" spans="1:7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</row>
    <row r="258" spans="1:7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</row>
    <row r="259" spans="1:7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</row>
    <row r="260" spans="1:7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</row>
    <row r="261" spans="1:7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</row>
    <row r="262" spans="1:7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</row>
    <row r="263" spans="1:7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</row>
    <row r="264" spans="1:7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</row>
    <row r="265" spans="1:7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</row>
    <row r="266" spans="1:7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</row>
    <row r="267" spans="1:7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</row>
    <row r="268" spans="1:7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</row>
    <row r="269" spans="1:7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</row>
    <row r="270" spans="1:7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</row>
    <row r="271" spans="1:7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</row>
    <row r="272" spans="1:7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</row>
    <row r="273" spans="1:7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</row>
    <row r="274" spans="1:7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</row>
    <row r="275" spans="1:7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</row>
    <row r="276" spans="1:7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</row>
    <row r="277" spans="1:7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</row>
    <row r="278" spans="1:7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</row>
    <row r="279" spans="1:7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</row>
    <row r="280" spans="1:7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</row>
    <row r="281" spans="1:7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spans="1:7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</row>
    <row r="283" spans="1:7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spans="1:7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</row>
    <row r="285" spans="1:7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</row>
    <row r="286" spans="1:7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</row>
    <row r="287" spans="1:7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</row>
    <row r="288" spans="1:7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spans="1:7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spans="1:7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spans="1:7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</row>
    <row r="292" spans="1:7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</row>
    <row r="293" spans="1:7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spans="1:7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</row>
    <row r="295" spans="1:7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spans="1:7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</row>
    <row r="297" spans="1:7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spans="1:7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</row>
    <row r="299" spans="1:7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spans="1:7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</row>
    <row r="301" spans="1:7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spans="1:7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7BE9-2A17-46AB-9A63-CFCAE6BAE5D1}">
  <dimension ref="A1:S769"/>
  <sheetViews>
    <sheetView tabSelected="1" topLeftCell="A32" zoomScale="96" workbookViewId="0">
      <selection activeCell="B38" sqref="B38"/>
    </sheetView>
  </sheetViews>
  <sheetFormatPr defaultRowHeight="14.5" x14ac:dyDescent="0.35"/>
  <cols>
    <col min="1" max="1" width="40.6328125" customWidth="1"/>
    <col min="2" max="2" width="80.1796875" customWidth="1"/>
    <col min="3" max="3" width="107.1796875" customWidth="1"/>
  </cols>
  <sheetData>
    <row r="1" spans="1:19" ht="21.5" customHeight="1" x14ac:dyDescent="0.4">
      <c r="A1" s="98" t="s">
        <v>207</v>
      </c>
      <c r="B1" s="99"/>
      <c r="C1" s="70" t="s">
        <v>209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2" customHeight="1" thickBot="1" x14ac:dyDescent="0.45">
      <c r="A2" s="100" t="s">
        <v>208</v>
      </c>
      <c r="B2" s="101"/>
      <c r="C2" s="7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customHeight="1" x14ac:dyDescent="0.4">
      <c r="A3" s="87" t="s">
        <v>210</v>
      </c>
      <c r="B3" s="87" t="s">
        <v>226</v>
      </c>
      <c r="C3" s="6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81"/>
      <c r="B4" s="81"/>
      <c r="C4" s="80" t="s">
        <v>231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0.5" customHeight="1" x14ac:dyDescent="0.4">
      <c r="A5" s="88" t="s">
        <v>211</v>
      </c>
      <c r="B5" s="78">
        <v>566401</v>
      </c>
      <c r="C5" s="80" t="s">
        <v>236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.5" customHeight="1" x14ac:dyDescent="0.4">
      <c r="A6" s="88" t="s">
        <v>202</v>
      </c>
      <c r="B6" s="78">
        <v>25000</v>
      </c>
      <c r="C6" s="80" t="s">
        <v>237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.5" thickBot="1" x14ac:dyDescent="0.45">
      <c r="A7" s="89" t="s">
        <v>212</v>
      </c>
      <c r="B7" s="79">
        <f>B5/B6</f>
        <v>22.656040000000001</v>
      </c>
      <c r="C7" s="8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87" t="s">
        <v>213</v>
      </c>
      <c r="B8" s="86" t="s">
        <v>227</v>
      </c>
      <c r="C8" s="6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67"/>
      <c r="B9" s="83"/>
      <c r="C9" s="65" t="s">
        <v>232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0" customHeight="1" x14ac:dyDescent="0.4">
      <c r="A10" s="72" t="s">
        <v>214</v>
      </c>
      <c r="B10" s="90">
        <v>566401</v>
      </c>
      <c r="C10" s="65" t="s">
        <v>238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9.5" customHeight="1" x14ac:dyDescent="0.4">
      <c r="A11" s="72" t="s">
        <v>202</v>
      </c>
      <c r="B11" s="90">
        <v>25000</v>
      </c>
      <c r="C11" s="65" t="s">
        <v>239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.5" thickBot="1" x14ac:dyDescent="0.45">
      <c r="A12" s="74" t="s">
        <v>215</v>
      </c>
      <c r="B12" s="91">
        <f>B10/B11</f>
        <v>22.656040000000001</v>
      </c>
      <c r="C12" s="6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3.5" customHeight="1" x14ac:dyDescent="0.4">
      <c r="A13" s="87" t="s">
        <v>216</v>
      </c>
      <c r="B13" s="73" t="s">
        <v>228</v>
      </c>
      <c r="C13" s="6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67"/>
      <c r="B14" s="67"/>
      <c r="C14" s="65" t="s">
        <v>233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72" t="s">
        <v>217</v>
      </c>
      <c r="B15" s="75">
        <v>566401</v>
      </c>
      <c r="C15" s="66" t="s">
        <v>240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9.5" customHeight="1" x14ac:dyDescent="0.4">
      <c r="A16" s="72" t="s">
        <v>202</v>
      </c>
      <c r="B16" s="75">
        <v>25000</v>
      </c>
      <c r="C16" s="65" t="s">
        <v>241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.5" thickBot="1" x14ac:dyDescent="0.45">
      <c r="A17" s="74" t="s">
        <v>218</v>
      </c>
      <c r="B17" s="84">
        <f>B15/B16</f>
        <v>22.656040000000001</v>
      </c>
      <c r="C17" s="85" t="s">
        <v>242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73" t="s">
        <v>219</v>
      </c>
      <c r="B18" s="73" t="s">
        <v>229</v>
      </c>
      <c r="C18" s="6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67"/>
      <c r="B19" s="67"/>
      <c r="C19" s="65" t="s">
        <v>234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9" customHeight="1" x14ac:dyDescent="0.4">
      <c r="A20" s="72" t="s">
        <v>220</v>
      </c>
      <c r="B20" s="75">
        <v>25000</v>
      </c>
      <c r="C20" s="65" t="s">
        <v>243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.5" customHeight="1" x14ac:dyDescent="0.4">
      <c r="A21" s="72" t="s">
        <v>221</v>
      </c>
      <c r="B21" s="75">
        <v>685201</v>
      </c>
      <c r="C21" s="65" t="s">
        <v>244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.5" thickBot="1" x14ac:dyDescent="0.45">
      <c r="A22" s="72" t="s">
        <v>222</v>
      </c>
      <c r="B22" s="77">
        <f>B20/B21</f>
        <v>3.6485644358370754E-2</v>
      </c>
      <c r="C22" s="6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87" t="s">
        <v>223</v>
      </c>
      <c r="B23" s="73" t="s">
        <v>230</v>
      </c>
      <c r="C23" s="6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67"/>
      <c r="B24" s="67"/>
      <c r="C24" s="65" t="s">
        <v>235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0" customHeight="1" x14ac:dyDescent="0.4">
      <c r="A25" s="72" t="s">
        <v>220</v>
      </c>
      <c r="B25" s="75">
        <v>25000</v>
      </c>
      <c r="C25" s="65" t="s">
        <v>245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9" customHeight="1" x14ac:dyDescent="0.4">
      <c r="A26" s="72" t="s">
        <v>224</v>
      </c>
      <c r="B26" s="75">
        <v>710210</v>
      </c>
      <c r="C26" s="65" t="s">
        <v>246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9.5" customHeight="1" thickBot="1" x14ac:dyDescent="0.45">
      <c r="A27" s="74" t="s">
        <v>225</v>
      </c>
      <c r="B27" s="76">
        <f>B25/B26</f>
        <v>3.520085608481998E-2</v>
      </c>
      <c r="C27" s="65" t="s">
        <v>247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73" t="s">
        <v>248</v>
      </c>
      <c r="B28" s="87" t="s">
        <v>249</v>
      </c>
      <c r="C28" s="64"/>
      <c r="D28" s="69"/>
      <c r="E28" s="69"/>
      <c r="F28" s="69"/>
      <c r="G28" s="69"/>
      <c r="H28" s="6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67"/>
      <c r="B29" s="67"/>
      <c r="C29" s="65" t="s">
        <v>250</v>
      </c>
      <c r="D29" s="69"/>
      <c r="E29" s="69"/>
      <c r="F29" s="69"/>
      <c r="G29" s="69"/>
      <c r="H29" s="6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72" t="s">
        <v>251</v>
      </c>
      <c r="B30" s="75">
        <v>50200</v>
      </c>
      <c r="C30" s="65" t="s">
        <v>258</v>
      </c>
      <c r="D30" s="69"/>
      <c r="E30" s="69"/>
      <c r="F30" s="69"/>
      <c r="G30" s="69"/>
      <c r="H30" s="6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72" t="s">
        <v>252</v>
      </c>
      <c r="B31" s="75">
        <v>710210</v>
      </c>
      <c r="C31" s="65" t="s">
        <v>259</v>
      </c>
      <c r="D31" s="69"/>
      <c r="E31" s="69"/>
      <c r="F31" s="69"/>
      <c r="G31" s="69"/>
      <c r="H31" s="6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.5" thickBot="1" x14ac:dyDescent="0.45">
      <c r="A32" s="72" t="s">
        <v>253</v>
      </c>
      <c r="B32" s="92">
        <f>B30/B31</f>
        <v>7.0683319018318522E-2</v>
      </c>
      <c r="C32" s="85"/>
      <c r="D32" s="69"/>
      <c r="E32" s="69"/>
      <c r="F32" s="69"/>
      <c r="G32" s="69"/>
      <c r="H32" s="6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0" customHeight="1" x14ac:dyDescent="0.4">
      <c r="A33" s="87" t="s">
        <v>257</v>
      </c>
      <c r="B33" s="73" t="s">
        <v>254</v>
      </c>
      <c r="C33" s="67"/>
      <c r="D33" s="69"/>
      <c r="E33" s="69"/>
      <c r="F33" s="69"/>
      <c r="G33" s="69"/>
      <c r="H33" s="6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67"/>
      <c r="B34" s="67"/>
      <c r="C34" s="65" t="s">
        <v>260</v>
      </c>
      <c r="D34" s="69"/>
      <c r="E34" s="69"/>
      <c r="F34" s="69"/>
      <c r="G34" s="69"/>
      <c r="H34" s="6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72" t="s">
        <v>251</v>
      </c>
      <c r="B35" s="75">
        <v>50200</v>
      </c>
      <c r="C35" s="66" t="s">
        <v>261</v>
      </c>
      <c r="D35" s="69"/>
      <c r="E35" s="69"/>
      <c r="F35" s="69"/>
      <c r="G35" s="69"/>
      <c r="H35" s="6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72" t="s">
        <v>255</v>
      </c>
      <c r="B36" s="75">
        <v>541401</v>
      </c>
      <c r="C36" s="65" t="s">
        <v>262</v>
      </c>
      <c r="D36" s="69"/>
      <c r="E36" s="69"/>
      <c r="F36" s="69"/>
      <c r="G36" s="69"/>
      <c r="H36" s="6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1" customHeight="1" thickBot="1" x14ac:dyDescent="0.45">
      <c r="A37" s="74" t="s">
        <v>256</v>
      </c>
      <c r="B37" s="77">
        <f>B35/B36</f>
        <v>9.272239984780227E-2</v>
      </c>
      <c r="C37" s="68"/>
      <c r="D37" s="69"/>
      <c r="E37" s="69"/>
      <c r="F37" s="69"/>
      <c r="G37" s="69"/>
      <c r="H37" s="6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Problems</vt:lpstr>
      <vt:lpstr>Journal Entries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AFRIN KATHIJA</cp:lastModifiedBy>
  <dcterms:created xsi:type="dcterms:W3CDTF">2026-07-06T03:12:13Z</dcterms:created>
  <dcterms:modified xsi:type="dcterms:W3CDTF">2026-07-19T08:06:49Z</dcterms:modified>
</cp:coreProperties>
</file>